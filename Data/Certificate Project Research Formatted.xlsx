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unts" sheetId="1" r:id="rId5"/>
    <sheet state="visible" name="Delta" sheetId="2" r:id="rId6"/>
    <sheet state="visible" name="Certificates" sheetId="3" r:id="rId7"/>
    <sheet state="visible" name="Master" sheetId="4" r:id="rId8"/>
  </sheets>
  <definedNames/>
  <calcPr/>
</workbook>
</file>

<file path=xl/sharedStrings.xml><?xml version="1.0" encoding="utf-8"?>
<sst xmlns="http://schemas.openxmlformats.org/spreadsheetml/2006/main" count="2183" uniqueCount="505">
  <si>
    <t>IsCertificate</t>
  </si>
  <si>
    <t>Person</t>
  </si>
  <si>
    <t>Focus</t>
  </si>
  <si>
    <t>Certificate</t>
  </si>
  <si>
    <t>Original Name</t>
  </si>
  <si>
    <t>Certificate ID</t>
  </si>
  <si>
    <t>Inserted</t>
  </si>
  <si>
    <t>Source (ID)</t>
  </si>
  <si>
    <t>First Day</t>
  </si>
  <si>
    <t>Standardized Name</t>
  </si>
  <si>
    <t>Fee</t>
  </si>
  <si>
    <t>Replied</t>
  </si>
  <si>
    <t>Duration To Finish</t>
  </si>
  <si>
    <t>Provider</t>
  </si>
  <si>
    <t>Link</t>
  </si>
  <si>
    <t>Link to Certificate</t>
  </si>
  <si>
    <t>Standararized Name</t>
  </si>
  <si>
    <t>Standarized URL</t>
  </si>
  <si>
    <t>Official Course URL</t>
  </si>
  <si>
    <t>Fee (Ringgit)</t>
  </si>
  <si>
    <t>Checked</t>
  </si>
  <si>
    <t>Match Status</t>
  </si>
  <si>
    <t>Duration (Hours)</t>
  </si>
  <si>
    <t>Last Verified</t>
  </si>
  <si>
    <t>Forage Deloitte Data analytics</t>
  </si>
  <si>
    <t xml:space="preserve">Deloitte </t>
  </si>
  <si>
    <t>Yes</t>
  </si>
  <si>
    <t>Alamin</t>
  </si>
  <si>
    <t>Data &amp; Analysis</t>
  </si>
  <si>
    <t>theforage.com/simulations/deloitte-au/data-analytics-s5zy</t>
  </si>
  <si>
    <t>Data Analysis</t>
  </si>
  <si>
    <t>Deloitte</t>
  </si>
  <si>
    <t>No</t>
  </si>
  <si>
    <t>https://www.instagram.com/alamin.8020ai/</t>
  </si>
  <si>
    <t>SpiralCon</t>
  </si>
  <si>
    <t>Kaggle Intro to Machine Course</t>
  </si>
  <si>
    <t>Kaggle</t>
  </si>
  <si>
    <r>
      <rPr>
        <rFont val="Arial"/>
        <color rgb="FF1155CC"/>
        <sz val="11.0"/>
        <u/>
      </rPr>
      <t>https://www.kaggle.com/learn/intro-to-machine-learning</t>
    </r>
  </si>
  <si>
    <t>http://spiralcontent.ai/</t>
  </si>
  <si>
    <t>YES</t>
  </si>
  <si>
    <t>umarjamal</t>
  </si>
  <si>
    <t>Google Advanced Data Analytics</t>
  </si>
  <si>
    <t>https://www.coursera.org/professional-certificates/google-advanced-data-analytics</t>
  </si>
  <si>
    <t>NA</t>
  </si>
  <si>
    <t>https://www.instagram.com/uj_umarjamal/</t>
  </si>
  <si>
    <t>Kaggle Intro to SQL</t>
  </si>
  <si>
    <r>
      <rPr>
        <rFont val="Arial,sans-serif"/>
        <color rgb="FF1155CC"/>
        <u/>
      </rPr>
      <t>https://www.kaggle.com/learn/intro-to-sql</t>
    </r>
  </si>
  <si>
    <t>furiouslytech</t>
  </si>
  <si>
    <t>Yes/No Link</t>
  </si>
  <si>
    <t>Google Cybersecurity</t>
  </si>
  <si>
    <t>https://www.coursera.org/professional-certificates/google-cybersecurity?</t>
  </si>
  <si>
    <t>https://www.instagram.com/furiouslytech/</t>
  </si>
  <si>
    <t>Kaggle Python / Pandas</t>
  </si>
  <si>
    <r>
      <rPr>
        <rFont val="Arial,sans-serif"/>
        <color rgb="FF1155CC"/>
        <u/>
      </rPr>
      <t>https://www.kaggle.com/learn/python</t>
    </r>
  </si>
  <si>
    <t>jerryjhlee</t>
  </si>
  <si>
    <t>Google Cloud Certified generative AI Leader</t>
  </si>
  <si>
    <t>https://cloud.google.com/learn/certification/generative-ai-leader</t>
  </si>
  <si>
    <t>Anthropic AI Fluency: Framework &amp; Foundations</t>
  </si>
  <si>
    <t>Anthropic</t>
  </si>
  <si>
    <t>AI</t>
  </si>
  <si>
    <t>https://anthropic.skilljar.com/ai-fluency-framework-foundations</t>
  </si>
  <si>
    <t>https://www.instagram.com/jerryjhlee/?hl=en&amp;g=5</t>
  </si>
  <si>
    <t>Google Crash Course on Python</t>
  </si>
  <si>
    <t>https://www.coursera.org/professional-certificates/google-it-automation</t>
  </si>
  <si>
    <t>krishnagangwal</t>
  </si>
  <si>
    <t>https://www.instagram.com/krishnagangwal.ai/</t>
  </si>
  <si>
    <t>Claude Certifed Archtitect</t>
  </si>
  <si>
    <t>https://anthropic-partners.skilljar.com/claude-certified-architect-foundations-certification</t>
  </si>
  <si>
    <t>Introduction to Generative AI</t>
  </si>
  <si>
    <t>https://www.coursera.org/learn/introduction-to-generative-ai</t>
  </si>
  <si>
    <t>itsztales</t>
  </si>
  <si>
    <t>https://www.instagram.com/itsztales/</t>
  </si>
  <si>
    <t>Agile Project Management</t>
  </si>
  <si>
    <t>https://www.coursera.org/learn/agile-project-management</t>
  </si>
  <si>
    <t>sujartech</t>
  </si>
  <si>
    <t>Anthropic, Building effective human-agent teams</t>
  </si>
  <si>
    <t>https://academy.claude.com/courses/building-effective-human-agent-teams</t>
  </si>
  <si>
    <t>https://www.instagram.com/sujar.tech/</t>
  </si>
  <si>
    <t>johncorbett</t>
  </si>
  <si>
    <t>Google AI Essentials</t>
  </si>
  <si>
    <r>
      <rPr>
        <rFont val="Arial,sans-serif"/>
        <color rgb="FF1155CC"/>
        <sz val="11.0"/>
        <u/>
      </rPr>
      <t>https://www.coursera.org/learn/google-ai-essentials</t>
    </r>
  </si>
  <si>
    <t>https://www.instagram.com/johncorbett777/</t>
  </si>
  <si>
    <t>Anthropic, Claude Platform 101.</t>
  </si>
  <si>
    <t>https://academy.claude.com/courses/claude-platform-101</t>
  </si>
  <si>
    <t>matebreton</t>
  </si>
  <si>
    <t>Machine Learning</t>
  </si>
  <si>
    <t>kaggle Intro to Machine Course</t>
  </si>
  <si>
    <r>
      <rPr>
        <rFont val="Arial"/>
        <color rgb="FF1155CC"/>
        <sz val="11.0"/>
        <u/>
      </rPr>
      <t>https://www.kaggle.com/learn/intro-to-machine-learning</t>
    </r>
  </si>
  <si>
    <t>https://www.instagram.com/matebreton/?hl=en&amp;g=5</t>
  </si>
  <si>
    <t>Anthropic, Model Context Protocol: Advanced topics.</t>
  </si>
  <si>
    <t>Software &amp; IT</t>
  </si>
  <si>
    <t>https://academy.claude.com/courses/model-context-protocol-advanced-topics</t>
  </si>
  <si>
    <t>jakemok.io</t>
  </si>
  <si>
    <t>Microsoft Applied Skills</t>
  </si>
  <si>
    <t>Microsoft</t>
  </si>
  <si>
    <t>Others</t>
  </si>
  <si>
    <t>https://learn.microsoft.com/en-us/credentials/applied-skills/</t>
  </si>
  <si>
    <t>KPMG Audit</t>
  </si>
  <si>
    <t>https://www.theforage.com/simulations/kpmg-ca/auditassurance-el6n</t>
  </si>
  <si>
    <t>Goldman Sachs Controllers</t>
  </si>
  <si>
    <t>Goldman</t>
  </si>
  <si>
    <t>Finance &amp; Accounting</t>
  </si>
  <si>
    <t>https://www.instagram.com/jakemok.io/</t>
  </si>
  <si>
    <t>https://www.theforage.com/simulations/goldmansachs/controllers-8npc</t>
  </si>
  <si>
    <t>David Chen</t>
  </si>
  <si>
    <t>EY Audit</t>
  </si>
  <si>
    <t>EY</t>
  </si>
  <si>
    <t>jackk_flick</t>
  </si>
  <si>
    <t>Yes/No specifics</t>
  </si>
  <si>
    <t>https://www.theforage.com/simulations/ey/audit-k5kl</t>
  </si>
  <si>
    <t>https://www.instagram.com/jackk_flick/</t>
  </si>
  <si>
    <t>EY Technology Risk</t>
  </si>
  <si>
    <t>Cybersecurity</t>
  </si>
  <si>
    <t>https://www.theforage.com/simulations/ey/technology-risk-ydqh</t>
  </si>
  <si>
    <t>PWC Audit</t>
  </si>
  <si>
    <t>https://www.theforage.com/simulations/pwc-us/audit-w3fr</t>
  </si>
  <si>
    <t>ai.veerse</t>
  </si>
  <si>
    <r>
      <rPr>
        <rFont val="Arial,sans-serif"/>
        <color rgb="FF1155CC"/>
        <sz val="11.0"/>
        <u/>
      </rPr>
      <t>https://www.coursera.org/learn/google-ai-essentials</t>
    </r>
  </si>
  <si>
    <t>IBM Skillsbuild SQL</t>
  </si>
  <si>
    <t>IBM</t>
  </si>
  <si>
    <t>https://www.edx.org/learn/data-science/ibm-sql-for-data-science</t>
  </si>
  <si>
    <t>https://www.instagram.com/ai.veerse/</t>
  </si>
  <si>
    <t>IBM Data Analysis with Python</t>
  </si>
  <si>
    <t>https://www.coursera.org/learn/data-analysis-with-python</t>
  </si>
  <si>
    <t>jonesyslifestyle</t>
  </si>
  <si>
    <t>https://www.instagram.com/jonesyslifestyle/</t>
  </si>
  <si>
    <t>IBM Data Science</t>
  </si>
  <si>
    <t>https://www.coursera.org/professional-certificates/ibm-data-science?utm_medium=sem&amp;utm_source=gg&amp;utm_campaign=b2c_apac_ibm-data-science_ibm_ftcof_professional-certificates_cx_dr_bau_gg_sem_pr_s3_en_m_hyb_24-05_x&amp;campaignid=21260288546&amp;adgroupid=161508822226&amp;device=c&amp;keyword=ibm%20data%20science&amp;matchtype=p&amp;network=g&amp;devicemodel=&amp;creativeid=698924747646&amp;assetgroupid=&amp;targetid=kwd-312859523693&amp;extensionid=&amp;placement=&amp;gad_source=1&amp;gad_campaignid=21260288546&amp;gclid=CjwKCAjwxeHWBhBPEiwAiqtQ-RpUT_ZGlCDSp9K3kxSDmxfi1LmWlsN1s9aS9kZV5op1XyTz-gb3VxoCKZEQAvD_BwE</t>
  </si>
  <si>
    <t>pirknn</t>
  </si>
  <si>
    <t>https://www.instagram.com/pirknn/</t>
  </si>
  <si>
    <t>ssssafin</t>
  </si>
  <si>
    <t>Deloitte Data Analyst</t>
  </si>
  <si>
    <t>https://www.theforage.com/simulations/deloitte-au/dataanalytics-s5zy</t>
  </si>
  <si>
    <t>https://www.instagram.com/ssssafin/</t>
  </si>
  <si>
    <t>IBM AI Fundamentals</t>
  </si>
  <si>
    <t>https://www.netacad.com/courses/ai-ibm-skillsbuild?courseLang=en-US</t>
  </si>
  <si>
    <t>KPMG Tax Professional</t>
  </si>
  <si>
    <t>https://www.theforage.com/simulations/kpmg-ca/tax-m4t0</t>
  </si>
  <si>
    <t>IBM Introduction to Cloud</t>
  </si>
  <si>
    <t>Cloud &amp; Infrastructure</t>
  </si>
  <si>
    <r>
      <rPr>
        <color rgb="FF1155CC"/>
        <u/>
      </rPr>
      <t>https://cognitiveclass.ai/courses/introduction-to-cloud</t>
    </r>
  </si>
  <si>
    <t>the agi guide</t>
  </si>
  <si>
    <t>PWC Tax Services</t>
  </si>
  <si>
    <t>https://www.theforage.com/simulations/pwc-us/tax-l9rj</t>
  </si>
  <si>
    <t>https://www.instagram.com/the.agi.guide/?hl=en&amp;e=5c9b1f10-0ecd-4036-bed8-a4fa3d049e10&amp;g=5</t>
  </si>
  <si>
    <t>IBM SkillsBuild Cybersecurity</t>
  </si>
  <si>
    <t>https://skills.yourlearning.ibm.com/activity/PLAN-C7EE7CC95370?ngo-id=0302</t>
  </si>
  <si>
    <t>ACCA Sustainability</t>
  </si>
  <si>
    <t>https://www.theforage.com/simulations/accaapac/sustainability-banking-4sca</t>
  </si>
  <si>
    <t>basunverse</t>
  </si>
  <si>
    <t>https://www.instagram.com/basunverse/?hl=en&amp;e=be78c148-dd09-4136-a0cd-9cf1e4dd6eb6&amp;g=5</t>
  </si>
  <si>
    <t>IBM SkillsBuild: Cloud Computing Fundamentals</t>
  </si>
  <si>
    <t>https://skills.yourlearning.ibm.com/activity/PLAN-2EC3A305F2C3?ngo-id=0302</t>
  </si>
  <si>
    <t>cindiezhu</t>
  </si>
  <si>
    <t>https://www.instagram.com/cindiezhu/?hl=en&amp;e=f02cf9f9-337a-481e-9b29-934ca3789926&amp;g=5</t>
  </si>
  <si>
    <t>IBM SkilsBuild Artificial Intelligence Fundamentals</t>
  </si>
  <si>
    <t>partnerup professionalism &amp; power</t>
  </si>
  <si>
    <t>https://skills.yourlearning.ibm.com/activity/PLAN-7913EE1DB030?ngo-id=0302</t>
  </si>
  <si>
    <t>https://www.theforage.com/simulations/pnc/professionalism-power-skills-dxef</t>
  </si>
  <si>
    <t>chase_enloe</t>
  </si>
  <si>
    <t>https://www.instagram.com/chase_enloe/</t>
  </si>
  <si>
    <t>AWS Skill builder prompt engineering</t>
  </si>
  <si>
    <t>https://skillbuilder.aws/learn/VF6H4SZ1BU/foundations-of-prompt-engineering/7U8XFUVXDT</t>
  </si>
  <si>
    <t>IBM AI Enigineering Professional Certificate</t>
  </si>
  <si>
    <t>https://www.coursera.org/professional-certificates/ai-engineer</t>
  </si>
  <si>
    <t>Microsoft Introduction to python edx</t>
  </si>
  <si>
    <t>HubSpot Digital Marketing</t>
  </si>
  <si>
    <t>https://www.edx.org/learn/python/edx-try-it-intro-to-python</t>
  </si>
  <si>
    <t>HubSpot</t>
  </si>
  <si>
    <t>Marketing &amp; Sales</t>
  </si>
  <si>
    <t>https://academy.hubspot.com/courses/digital-marketing</t>
  </si>
  <si>
    <t>HubSpot Content Marketing</t>
  </si>
  <si>
    <t>https://academy.hubspot.com/courses/content-marketing</t>
  </si>
  <si>
    <t>HubSpot Social Media marketing</t>
  </si>
  <si>
    <t>https://academy.hubspot.com/courses/social-media</t>
  </si>
  <si>
    <t>Cisco Networking data science essentials</t>
  </si>
  <si>
    <t>https://www.netacad.com/courses/data-science-essentials-with-python?courseLang=en-US</t>
  </si>
  <si>
    <t>HubSpot Email Marketing</t>
  </si>
  <si>
    <t>https://academy.hubspot.com/courses/email-marketing-certification-en</t>
  </si>
  <si>
    <t>HubSpot Inbound</t>
  </si>
  <si>
    <r>
      <rPr>
        <rFont val="Arial,sans-serif"/>
        <color rgb="FF1155CC"/>
        <u/>
      </rPr>
      <t>https://academy.hubspot.com/courses/inbound</t>
    </r>
  </si>
  <si>
    <t>Datacamp data engineering</t>
  </si>
  <si>
    <t>https://www.datacamp.com/certification/data-engineer</t>
  </si>
  <si>
    <t>Google</t>
  </si>
  <si>
    <r>
      <rPr>
        <rFont val="Arial,sans-serif"/>
        <color rgb="FF1155CC"/>
        <sz val="11.0"/>
        <u/>
      </rPr>
      <t>https://www.coursera.org/learn/google-ai-essentials</t>
    </r>
  </si>
  <si>
    <t>Forage Siemens Engineering</t>
  </si>
  <si>
    <t>https://www.theforage.com/simulations/siemens-mobility/operations-industrial-engineering-xh22</t>
  </si>
  <si>
    <t>Harvard CS50 Certificate</t>
  </si>
  <si>
    <t>https://cs50.harvard.edu/x/certificate/</t>
  </si>
  <si>
    <t>Google Digital marketing</t>
  </si>
  <si>
    <t>www.coursera.org/professional-certificates/google-digital-marketing-ecommerce</t>
  </si>
  <si>
    <t>Google Analytics</t>
  </si>
  <si>
    <t>https://skillshop.docebosaas.com/learn/courses/18609/google-analytics-certification-2026</t>
  </si>
  <si>
    <t>Google AI essentials</t>
  </si>
  <si>
    <r>
      <rPr>
        <color rgb="FF1155CC"/>
        <u/>
      </rPr>
      <t>https://grow.google/ai-essentials/?srsltid=AU7gw4U-100zB_pjoZTFgfOunZ93kYMS4W9UdBNQA7obTkjen6Ozqe4m</t>
    </r>
  </si>
  <si>
    <t>Google Data Analytics</t>
  </si>
  <si>
    <t>https://www.coursera.org/professional-certificates/google-data-analytics</t>
  </si>
  <si>
    <t>Oracle OCI AI Foundations Associate</t>
  </si>
  <si>
    <t>https://learn.oracle.com/ols/learning-path/become-an-oci-ai-foundations-associate/146553/163544</t>
  </si>
  <si>
    <t>Google Project Management</t>
  </si>
  <si>
    <t>Business &amp; Management</t>
  </si>
  <si>
    <t>https://www.coursera.org/professional-certificates/google-project-management</t>
  </si>
  <si>
    <t>Google Cloud Skills</t>
  </si>
  <si>
    <t>https://cloud.google.com/learn/certificates</t>
  </si>
  <si>
    <t>AWS Cloud Practitioner Essentials</t>
  </si>
  <si>
    <t>https://skillbuilder.aws/learn/94T2BEN85A/aws-cloud-practitioner-essentials/8D79F3AVR7</t>
  </si>
  <si>
    <t>Google Introduction to Generative AI</t>
  </si>
  <si>
    <t>https://www.cloudskillsboost.google/course_templates/536</t>
  </si>
  <si>
    <t>Microsoft AI Fundamentals</t>
  </si>
  <si>
    <r>
      <rPr>
        <rFont val="Arial,sans-serif"/>
        <color rgb="FF1155CC"/>
        <sz val="11.0"/>
        <u/>
      </rPr>
      <t>https://www.coursera.org/learn/google-ai-essentials</t>
    </r>
  </si>
  <si>
    <t>https://learn.microsoft.com/en-us/credentials/certifications/azure-ai-fundamentals/</t>
  </si>
  <si>
    <t>Microsoft Power BI</t>
  </si>
  <si>
    <t>www.coursera.org/professional-certificates/microsoft-power-bi-data-analyst</t>
  </si>
  <si>
    <t>Microsoft Azure Fundamentals</t>
  </si>
  <si>
    <t>https://www.coursera.org/specializations/microsoft-azure-fundamentals-az900-exam-prep</t>
  </si>
  <si>
    <t>Microsoft Foundational C#</t>
  </si>
  <si>
    <r>
      <rPr>
        <color rgb="FF1155CC"/>
        <u/>
      </rPr>
      <t>https://www.freecodecamp.org/learn/foundational-c-sharp-with-microsoft/</t>
    </r>
  </si>
  <si>
    <t>Microsoft, Develop an agent with integrated tools.</t>
  </si>
  <si>
    <t>https://learn.microsoft.com/en-us/credentials/applied-skills/develop-an-agent-with-integrated-tools/</t>
  </si>
  <si>
    <t>AWS</t>
  </si>
  <si>
    <r>
      <rPr>
        <rFont val="Arial,sans-serif"/>
        <color rgb="FF1155CC"/>
        <sz val="11.0"/>
        <u/>
      </rPr>
      <t>https://academy.hubspot.com/courses/digital-marketing</t>
    </r>
  </si>
  <si>
    <t>AWS Cloud Quest: Cloud Practitioner</t>
  </si>
  <si>
    <t>https://skillbuilder.aws/learn/FU5WCYVGKY/aws-cloud-quest-cloud-practitioner/JF9TKU68GT</t>
  </si>
  <si>
    <t>AWS Introduction to Generative AI</t>
  </si>
  <si>
    <t>https://skillbuilder.aws/learn/ZEVZZ1D4AS/introduction-to-generative-ai--art-of-the-possible/Y7MTGJCW1U</t>
  </si>
  <si>
    <t>AWS Certified Machine Learning Engineer Associate</t>
  </si>
  <si>
    <t>https://skillbuilder.aws/learn/SNE13WNABZ/exam-prep-aws-certified-machine-learning-engineer--associate-mlac01/2G8V6W44MJ</t>
  </si>
  <si>
    <t>Meta Social Media Marketing</t>
  </si>
  <si>
    <t>https://www.facebook.com/business/learn/social-media-marketing-certificate-coursera</t>
  </si>
  <si>
    <t>KPMG</t>
  </si>
  <si>
    <t>PWC</t>
  </si>
  <si>
    <t>CS50’s Introduction to Computer Science</t>
  </si>
  <si>
    <t>ACCA</t>
  </si>
  <si>
    <t>Engineering &amp; Science</t>
  </si>
  <si>
    <t>Partnerup professionalism &amp; power</t>
  </si>
  <si>
    <t>Partnerup</t>
  </si>
  <si>
    <t>Career Essentials in Generative AI</t>
  </si>
  <si>
    <t>https://www.linkedin.com/learning/paths/career-essentials-in-generative-ai-by-microsoft-and-linkedin</t>
  </si>
  <si>
    <t>Cisco</t>
  </si>
  <si>
    <t>Cisco Introduction to Cybersecurity</t>
  </si>
  <si>
    <r>
      <rPr>
        <rFont val="Arial,sans-serif"/>
        <color rgb="FF1155CC"/>
        <u/>
      </rPr>
      <t>https://www.netacad.com/courses/introduction-to-cybersecurity</t>
    </r>
  </si>
  <si>
    <r>
      <rPr>
        <rFont val="Arial,sans-serif"/>
        <color rgb="FF1155CC"/>
        <sz val="11.0"/>
        <u/>
      </rPr>
      <t>https://www.coursera.org/learn/google-ai-essentials</t>
    </r>
  </si>
  <si>
    <t>Cisco Introduction to IoT and Digital Transformation</t>
  </si>
  <si>
    <r>
      <rPr>
        <rFont val="Arial,sans-serif"/>
        <color rgb="FF1155CC"/>
        <u/>
      </rPr>
      <t>https://www.netacad.com/courses/introduction-iot</t>
    </r>
  </si>
  <si>
    <t>Cisco Networking Basics</t>
  </si>
  <si>
    <r>
      <rPr>
        <rFont val="Arial,sans-serif"/>
        <color rgb="FF1155CC"/>
        <u/>
      </rPr>
      <t>https://www.netacad.com/courses/networking-basics</t>
    </r>
  </si>
  <si>
    <t>Cisco Introduction to Modern AI</t>
  </si>
  <si>
    <t>https://go.netacad.com/Intro-to-Modern-AI_Registration.html</t>
  </si>
  <si>
    <t>freeCodeCamp responsive Web Design</t>
  </si>
  <si>
    <t>https://www.freecodecamp.org/learn/responsive-web-design-v9/</t>
  </si>
  <si>
    <t>freeCodeCamp JavaScript</t>
  </si>
  <si>
    <t>https://www.freecodecamp.org/learn/javascript-v9/</t>
  </si>
  <si>
    <t>Cisco Networking Data Analytics Essentials</t>
  </si>
  <si>
    <t>https://www.netacad.com/courses/data-analytics-essentials</t>
  </si>
  <si>
    <t>freeCodeCamp Data Visualisation</t>
  </si>
  <si>
    <t>https://www.freecodecamp.org/learn/data-visualization/</t>
  </si>
  <si>
    <t>Datacamp</t>
  </si>
  <si>
    <t>Python for Everybody</t>
  </si>
  <si>
    <t>https://www.coursera.org/specializations/python</t>
  </si>
  <si>
    <t>Hugging Face a smol course</t>
  </si>
  <si>
    <t>Hugging Face</t>
  </si>
  <si>
    <t>https://huggingface.co/smol-course</t>
  </si>
  <si>
    <t>Excel Skills for Business</t>
  </si>
  <si>
    <t>https://www.coursera.org/specializations/excel</t>
  </si>
  <si>
    <r>
      <rPr>
        <rFont val="Arial,sans-serif"/>
        <color rgb="FF1155CC"/>
        <sz val="11.0"/>
        <u/>
      </rPr>
      <t>https://www.coursera.org/learn/google-ai-essentials</t>
    </r>
  </si>
  <si>
    <t>Hugging Face AI Agents Course</t>
  </si>
  <si>
    <t>Introduction to cybersecurity</t>
  </si>
  <si>
    <t>https://huggingface.co/learn/agents-course</t>
  </si>
  <si>
    <r>
      <rPr>
        <rFont val="Arial,sans-serif"/>
        <color rgb="FF1155CC"/>
        <u/>
      </rPr>
      <t>https://www.netacad.com/courses/introduction-to-cybersecurity</t>
    </r>
  </si>
  <si>
    <t>UX Design Fundamentals</t>
  </si>
  <si>
    <t>Harvard</t>
  </si>
  <si>
    <t>https://www.coursera.org/specializations/ui-ux-design?utm_medium=sem&amp;utm_source=gg&amp;utm_campaign=b2c_apac_x_multi_ftcof_x_cx_dr_bau_gg_sem_pr_s3_en_m_hyb_26-09_consolidated-s3-others&amp;campaignid=24314885422&amp;adgroupid=201707340858&amp;device=c&amp;keyword=ux%20design%20course&amp;matchtype=p&amp;network=g&amp;devicemodel=&amp;creativeid=826595554549&amp;assetgroupid=&amp;targetid=kwd-25742925511&amp;extensionid=&amp;placement=&amp;gad_source=1&amp;gad_campaignid=24314885422&amp;gclid=CjwKCAjwxeHWBhBPEiwAiqtQ-QfBMsg-8G9szPkBFfDmTxllslx6tAs9eEe9hjbYJ_-PgYocX6UoTBoClIEQAvD_BwE</t>
  </si>
  <si>
    <t>CS50’s Introduction to Artificial Intelligence with Python</t>
  </si>
  <si>
    <t>https://pll.harvard.edu/course/cs50s-introduction-artificial-intelligence-python</t>
  </si>
  <si>
    <t>Siemens Mobility Project Manager</t>
  </si>
  <si>
    <t>Siemens</t>
  </si>
  <si>
    <t>https://www.theforage.com/simulations/siemens-mobility/project-management-qydx</t>
  </si>
  <si>
    <t>Financial Markets</t>
  </si>
  <si>
    <t>https://www.coursera.org/learn/financial-markets-global</t>
  </si>
  <si>
    <t>Development</t>
  </si>
  <si>
    <r>
      <rPr>
        <color rgb="FF1155CC"/>
        <u/>
      </rPr>
      <t>https://www.freecodecamp.org/learn/foundational-c-sharp-with-microsoft/</t>
    </r>
  </si>
  <si>
    <t>Oracle</t>
  </si>
  <si>
    <t>Oracle OCI Architect Associate</t>
  </si>
  <si>
    <t>https://learn.oracle.com/ols/learning-path/become-an-oci-architect-associate/97213/97424</t>
  </si>
  <si>
    <t>Kaggle Machine learning</t>
  </si>
  <si>
    <r>
      <rPr>
        <rFont val="Arial"/>
        <color rgb="FF1155CC"/>
        <sz val="11.0"/>
        <u/>
      </rPr>
      <t>https://www.kaggle.com/learn/intro-to-machine-learning</t>
    </r>
  </si>
  <si>
    <t>SQL</t>
  </si>
  <si>
    <t>HackerRank SQL Basic</t>
  </si>
  <si>
    <t>Oracle Agentic AI Foundations Associate</t>
  </si>
  <si>
    <r>
      <rPr>
        <color rgb="FF1155CC"/>
        <u/>
      </rPr>
      <t>https://www.hackerrank.com/skills-verification/sql_basic</t>
    </r>
  </si>
  <si>
    <t>https://learn.oracle.com/ols/learning-path/become-an-oracle-agentic-ai-foundations-associate/146553/163239</t>
  </si>
  <si>
    <t>Oracle OCI 2025 generative AI Professional</t>
  </si>
  <si>
    <t>https://education.oracle.com/oracle-cloud-infrastructure-2025-generative-ai-professional/pexam_1Z0-1127-25</t>
  </si>
  <si>
    <t>Elements of AI</t>
  </si>
  <si>
    <r>
      <rPr>
        <color rgb="FF1155CC"/>
        <u/>
      </rPr>
      <t>https://course.elementsofai.com/</t>
    </r>
  </si>
  <si>
    <t>OpenAI AI Foundations</t>
  </si>
  <si>
    <t>OpenAI</t>
  </si>
  <si>
    <t>https://academy.openai.com/public/courses/ai-foundations-dnq5w</t>
  </si>
  <si>
    <t>Applied AI Foundations</t>
  </si>
  <si>
    <t>https://academy.openai.com/public/courses/applied-ai-foundations-szsmv</t>
  </si>
  <si>
    <r>
      <rPr>
        <color rgb="FF1155CC"/>
        <u/>
      </rPr>
      <t>https://cognitiveclass.ai/courses/introduction-to-cloud</t>
    </r>
  </si>
  <si>
    <r>
      <rPr>
        <rFont val="Arial,sans-serif"/>
        <color rgb="FF1155CC"/>
        <sz val="11.0"/>
        <u/>
      </rPr>
      <t>https://academy.hubspot.com/courses/digital-marketing</t>
    </r>
  </si>
  <si>
    <t>Agents and Workflows</t>
  </si>
  <si>
    <t>https://academy.openai.com/public/courses/agents-and-workflows-y0qoc</t>
  </si>
  <si>
    <t>Saylor C++ Programming</t>
  </si>
  <si>
    <r>
      <rPr>
        <color rgb="FF1155CC"/>
        <u/>
      </rPr>
      <t>https://learn.saylor.org/course/cs107</t>
    </r>
  </si>
  <si>
    <t>AI Leadership</t>
  </si>
  <si>
    <t>https://academy.openai.com/public/courses/ai-leadership-kaf7k</t>
  </si>
  <si>
    <t>MongoDB, Building AI Agents with MongoDB.</t>
  </si>
  <si>
    <t>mongoDB</t>
  </si>
  <si>
    <t>https://learn.mongodb.com/courses/ai-agents-with-mongodb</t>
  </si>
  <si>
    <t>Business</t>
  </si>
  <si>
    <t>JPMorganChase Investment</t>
  </si>
  <si>
    <t>https://www.theforage.com/simulations/jpmorgan/investment-banking-hkyd</t>
  </si>
  <si>
    <t>LangChain, LangSmith Fleet, Build No-Code Agents.</t>
  </si>
  <si>
    <t>LangChain</t>
  </si>
  <si>
    <t>https://academy.langchain.com/courses/langchain-essentials-python</t>
  </si>
  <si>
    <t>Bank of America Investment Banking</t>
  </si>
  <si>
    <t>https://www.theforage.com/simulations/bank-of-america/investment-banking-bwp7</t>
  </si>
  <si>
    <t>LangChain, LangChain Essentials Python.</t>
  </si>
  <si>
    <t>https://academy.langchain.com/courses/quickstart-agent-builder</t>
  </si>
  <si>
    <t>Databricks Generative AI Fundamentals</t>
  </si>
  <si>
    <t>Databricks</t>
  </si>
  <si>
    <t>https://www.databricks.com/training/catalog/generative-ai-fundamentals-1765</t>
  </si>
  <si>
    <t>Citi Investment Banking</t>
  </si>
  <si>
    <t>https://www.theforage.com/simulations/citi/investment-banking-9wcw</t>
  </si>
  <si>
    <t>Generative AI Fundamentals Accreditation</t>
  </si>
  <si>
    <t>https://customer-academy.databricks.com/learn/courses/1811/generative-ai-fundamentals-accreditation?utm_source=chatgpt.com</t>
  </si>
  <si>
    <t>H2 Ventures Venture Capital</t>
  </si>
  <si>
    <t>https://www.theforage.com/simulations/h2-ventures/venture-capital-comi</t>
  </si>
  <si>
    <t>Databricks Lakehouse Fundamentals</t>
  </si>
  <si>
    <t>https://www.databricks.com/learn/certification/lakehouse-platform-fundamentals</t>
  </si>
  <si>
    <t>BCG Strategy Consulting</t>
  </si>
  <si>
    <t>https://www.theforage.com/simulations/bcg/strategy-consulting-jk76</t>
  </si>
  <si>
    <t>Databricks AI Agent Fundamentals</t>
  </si>
  <si>
    <t>https://www.databricks.com/resources/training/level-your-ai-agent-skills?itm_source=www&amp;itm_category=learn&amp;itm_page=certification&amp;itm_location=body&amp;itm_component=card&amp;itm_offer=level-your-ai-agent-skills</t>
  </si>
  <si>
    <t>mastercard Advisor &amp; Consulting Services</t>
  </si>
  <si>
    <t>https://www.theforage.com/simulations/mastercard/advisors-client-services-xvlw</t>
  </si>
  <si>
    <t>NVIDIA Certified Associate: Generative AI &amp; LLMs</t>
  </si>
  <si>
    <t>Nvidia</t>
  </si>
  <si>
    <t>BCG Digital Transformation</t>
  </si>
  <si>
    <t>https://www.nvidia.com/en-us/learn/certification/generative-ai-llm-associate/</t>
  </si>
  <si>
    <t>https://www.theforage.com/simulations/bcg/digital-transformation-pk18</t>
  </si>
  <si>
    <t>Canva Work Smarter With AI</t>
  </si>
  <si>
    <t>Canva</t>
  </si>
  <si>
    <t>Design &amp; Creativity</t>
  </si>
  <si>
    <t>https://www.canva.com/design-school/courses/work-smarter-with-ai/</t>
  </si>
  <si>
    <t>CBRE Project management</t>
  </si>
  <si>
    <t>https://www.theforage.com/simulations/cbre/project-management-x2vz</t>
  </si>
  <si>
    <t>GitHub Foundations</t>
  </si>
  <si>
    <t>GitHub</t>
  </si>
  <si>
    <r>
      <rPr>
        <rFont val="Arial,sans-serif"/>
        <color rgb="FF1155CC"/>
        <sz val="11.0"/>
        <u/>
      </rPr>
      <t>https://examregistration.github.com/certification/GHF</t>
    </r>
  </si>
  <si>
    <t>Linkedin</t>
  </si>
  <si>
    <t>Red Bull On-Premise Sales</t>
  </si>
  <si>
    <t>https://www.theforage.com/simulations/red-bull/on-premise-sales-waza</t>
  </si>
  <si>
    <t>HackerRank</t>
  </si>
  <si>
    <r>
      <rPr>
        <color rgb="FF1155CC"/>
        <u/>
      </rPr>
      <t>https://www.hackerrank.com/skills-verification/sql_basic</t>
    </r>
  </si>
  <si>
    <t>Pearson Marketing Explorer</t>
  </si>
  <si>
    <t>https://www.theforage.com/simulations/pearson/marketing-oxce</t>
  </si>
  <si>
    <t>SQL and Relational Databases 101</t>
  </si>
  <si>
    <t>Cognitive Class</t>
  </si>
  <si>
    <t>https://cognitiveclass.ai/courses/learn-sql-relational-databases</t>
  </si>
  <si>
    <t>Forage Academy Omnichannel Marketing</t>
  </si>
  <si>
    <t>Meta</t>
  </si>
  <si>
    <t>https://www.theforage.com/simulations/forage/sponsored-content-omnichannel-marketing-5iep</t>
  </si>
  <si>
    <t>Meta Blueprint</t>
  </si>
  <si>
    <t>https://www.facebookblueprint.com/student/catalog</t>
  </si>
  <si>
    <t>Bloomberg Client Engagement</t>
  </si>
  <si>
    <t>https://www.theforage.com/simulations/bloomberg/client-engagement-a6hi</t>
  </si>
  <si>
    <t>Fortinet NSE 1 in Cybersecurity</t>
  </si>
  <si>
    <t>Fortinet</t>
  </si>
  <si>
    <r>
      <rPr>
        <rFont val="Arial,sans-serif"/>
        <color rgb="FF1155CC"/>
        <u/>
      </rPr>
      <t>https://training.fortinet.com/local/staticpage/view.php?page=nse_1</t>
    </r>
  </si>
  <si>
    <t>Fortinet NSE 2</t>
  </si>
  <si>
    <r>
      <rPr>
        <rFont val="Arial,sans-serif"/>
        <color rgb="FF1155CC"/>
        <u/>
      </rPr>
      <t>https://training.fortinet.com/local/staticpage/view.php?page=nse_2</t>
    </r>
  </si>
  <si>
    <t>Hewlett Packard Enerprise Digital Sales</t>
  </si>
  <si>
    <t>https://www.theforage.com/simulations/hewlett-packard-enterprise/digital-sales-mmkg</t>
  </si>
  <si>
    <t>Fortinet NSE 3 (FortiGate Operator)</t>
  </si>
  <si>
    <r>
      <rPr>
        <rFont val="Arial,sans-serif"/>
        <color rgb="FF1155CC"/>
        <u/>
      </rPr>
      <t>https://training.fortinet.com/local/staticpage/view.php?page=nse_3</t>
    </r>
  </si>
  <si>
    <t xml:space="preserve"> Salesforce Trailhead badges</t>
  </si>
  <si>
    <t>Trailhead</t>
  </si>
  <si>
    <t>Walmart Advanced Software Engineering</t>
  </si>
  <si>
    <r>
      <rPr>
        <rFont val="Arial,sans-serif"/>
        <color rgb="FF1155CC"/>
        <u/>
      </rPr>
      <t>https://trailhead.salesforce.com/</t>
    </r>
  </si>
  <si>
    <t>https://www.theforage.com/simulations/walmart/software-engineering-fceb</t>
  </si>
  <si>
    <t>Snowflake Hands-On Essentials: Data Warehousing Workshop</t>
  </si>
  <si>
    <t>Snowflake</t>
  </si>
  <si>
    <r>
      <rPr>
        <rFont val="Arial,sans-serif"/>
        <color rgb="FF1155CC"/>
        <u/>
      </rPr>
      <t>https://learn.snowflake.com/en/courses/OD-ESS-DWW/</t>
    </r>
  </si>
  <si>
    <t>JPMorganChase Software Engineering</t>
  </si>
  <si>
    <t>https://www.theforage.com/simulations/jpmorgan/advanced-software-engineering-r0fm</t>
  </si>
  <si>
    <t>freeCodeCamp Responsive Web Design</t>
  </si>
  <si>
    <t>freeCodeCamp</t>
  </si>
  <si>
    <t>Skyscanner Front-End Software Engineering</t>
  </si>
  <si>
    <t>https://www.theforage.com/simulations/skyscanner/front-end-software-engineering-cbwl</t>
  </si>
  <si>
    <t>Mastercard Cybersecurity</t>
  </si>
  <si>
    <t>https://www.theforage.com/simulations/mastercard/cybersecurity-t8ye</t>
  </si>
  <si>
    <t>BCG Data Science</t>
  </si>
  <si>
    <t>https://www.theforage.com/simulations/bcg/data-science-ccdz</t>
  </si>
  <si>
    <t>freeCodeCamp Scientific Computing with Python</t>
  </si>
  <si>
    <t>https://www.freecodecamp.org/learn/scientific-computing-with-python/</t>
  </si>
  <si>
    <t>Tata GenAI-Powered Data Analytics</t>
  </si>
  <si>
    <t>https://www.theforage.com/simulations/tata/data-analytics-t3zr</t>
  </si>
  <si>
    <t>Palo Alto Networks Cybersecurity Academy fundamentals courses</t>
  </si>
  <si>
    <t>Palo Alto</t>
  </si>
  <si>
    <r>
      <rPr>
        <rFont val="Arial,sans-serif"/>
        <color rgb="FF1155CC"/>
        <u/>
      </rPr>
      <t>https://www.paloaltonetworks.com/services/education/academy/learner</t>
    </r>
  </si>
  <si>
    <t>Saylor</t>
  </si>
  <si>
    <r>
      <rPr>
        <rFont val="Arial,sans-serif"/>
        <color rgb="FF1155CC"/>
        <sz val="11.0"/>
        <u/>
      </rPr>
      <t>https://examregistration.github.com/certification/GHF</t>
    </r>
  </si>
  <si>
    <r>
      <rPr>
        <rFont val="Arial"/>
        <color rgb="FF1155CC"/>
        <u/>
      </rPr>
      <t>https://learn.saylor.org/course/cs107</t>
    </r>
  </si>
  <si>
    <t>JPMorganChase</t>
  </si>
  <si>
    <r>
      <rPr>
        <rFont val="Arial,sans-serif"/>
        <color rgb="FF1155CC"/>
        <u/>
      </rPr>
      <t>https://www.netacad.com/courses/introduction-to-cybersecurity</t>
    </r>
  </si>
  <si>
    <t>IBM SkillsBuild: Getting Started with Cybersecurity</t>
  </si>
  <si>
    <r>
      <rPr>
        <rFont val="Arial,sans-serif"/>
        <color rgb="FF1155CC"/>
        <u/>
      </rPr>
      <t>https://skillsbuild.org/college-students/course-catalog/getting-started-with-cybersecurity</t>
    </r>
  </si>
  <si>
    <t>Bank of America</t>
  </si>
  <si>
    <t>Citi</t>
  </si>
  <si>
    <t>H2 ventures</t>
  </si>
  <si>
    <r>
      <rPr>
        <rFont val="Arial,sans-serif"/>
        <color rgb="FF1155CC"/>
        <u/>
      </rPr>
      <t>https://cs50.harvard.edu/x/certificate/</t>
    </r>
  </si>
  <si>
    <t>HubSpot Inbound Certification</t>
  </si>
  <si>
    <r>
      <rPr>
        <rFont val="Arial,sans-serif"/>
        <color rgb="FF1155CC"/>
        <u/>
      </rPr>
      <t>https://academy.hubspot.com/courses/inbound</t>
    </r>
  </si>
  <si>
    <r>
      <rPr>
        <rFont val="Arial,sans-serif"/>
        <color rgb="FF1155CC"/>
        <u/>
      </rPr>
      <t>https://www.netacad.com/courses/introduction-to-cybersecurity</t>
    </r>
  </si>
  <si>
    <t>BCG</t>
  </si>
  <si>
    <t>Consulting &amp; Strategy</t>
  </si>
  <si>
    <t xml:space="preserve"> AWS Cloud Quest: Cloud Practitioner</t>
  </si>
  <si>
    <r>
      <rPr>
        <rFont val="Arial,sans-serif"/>
        <color rgb="FF1155CC"/>
        <u/>
      </rPr>
      <t>https://skillbuilder.aws/learn/FU5WCYVGKY/aws-cloud-quest-cloud-practitioner/JF9TKU68GT</t>
    </r>
  </si>
  <si>
    <t>Mastercard</t>
  </si>
  <si>
    <r>
      <rPr>
        <rFont val="Arial,sans-serif"/>
        <color rgb="FF1155CC"/>
        <u/>
      </rPr>
      <t>https://www.kaggle.com/learn/intro-to-sql</t>
    </r>
  </si>
  <si>
    <t>Kaggle Intro to Machine Learning</t>
  </si>
  <si>
    <r>
      <rPr>
        <rFont val="Arial,sans-serif"/>
        <color rgb="FF1155CC"/>
        <u/>
      </rPr>
      <t>https://www.kaggle.com/learn/intro-to-machine-learning</t>
    </r>
  </si>
  <si>
    <t>CBRE</t>
  </si>
  <si>
    <r>
      <rPr>
        <rFont val="Arial,sans-serif"/>
        <color rgb="FF1155CC"/>
        <u/>
      </rPr>
      <t>https://www.kaggle.com/learn/python</t>
    </r>
  </si>
  <si>
    <t>Red Bull</t>
  </si>
  <si>
    <t>Pearson</t>
  </si>
  <si>
    <t>Forage</t>
  </si>
  <si>
    <r>
      <rPr>
        <rFont val="Arial,sans-serif"/>
        <color rgb="FF1155CC"/>
        <u/>
      </rPr>
      <t>https://www.databricks.com/learn/training/certification</t>
    </r>
  </si>
  <si>
    <t>Bloomberg</t>
  </si>
  <si>
    <r>
      <rPr>
        <color rgb="FF1155CC"/>
        <u/>
      </rPr>
      <t>https://www.freecodecamp.org/learn/foundational-c-sharp-with-microsoft/</t>
    </r>
  </si>
  <si>
    <r>
      <rPr>
        <rFont val="Arial,sans-serif"/>
        <color rgb="FF1155CC"/>
        <u/>
      </rPr>
      <t>https://skillsbuild.org/college-students/course-catalog/</t>
    </r>
  </si>
  <si>
    <t>Hewlett</t>
  </si>
  <si>
    <t xml:space="preserve"> Google Cloud skill badge (one/month)</t>
  </si>
  <si>
    <t>Walmart</t>
  </si>
  <si>
    <r>
      <rPr>
        <rFont val="Arial,sans-serif"/>
        <color rgb="FF1155CC"/>
        <u/>
      </rPr>
      <t>https://www.skills.google/</t>
    </r>
  </si>
  <si>
    <r>
      <rPr>
        <rFont val="Arial"/>
        <color rgb="FF1155CC"/>
        <sz val="11.0"/>
        <u/>
      </rPr>
      <t>https://www.kaggle.com/learn/intro-to-machine-learning</t>
    </r>
  </si>
  <si>
    <r>
      <rPr>
        <rFont val="Arial,sans-serif"/>
        <color rgb="FF1155CC"/>
        <u/>
      </rPr>
      <t>https://www.netacad.com/courses/introduction-iot</t>
    </r>
  </si>
  <si>
    <t>Skyscanner</t>
  </si>
  <si>
    <r>
      <rPr>
        <rFont val="Arial,sans-serif"/>
        <color rgb="FF1155CC"/>
        <u/>
      </rPr>
      <t>https://www.netacad.com/courses/networking-basics</t>
    </r>
  </si>
  <si>
    <r>
      <rPr>
        <color rgb="FF1155CC"/>
        <u/>
      </rPr>
      <t>https://www.hackerrank.com/skills-verification/sql_basic</t>
    </r>
  </si>
  <si>
    <t>HubSpot Digital Marketing Certification</t>
  </si>
  <si>
    <r>
      <rPr>
        <rFont val="Arial,sans-serif"/>
        <color rgb="FF1155CC"/>
        <u/>
      </rPr>
      <t>https://academy.hubspot.com/courses/digital-marketing</t>
    </r>
  </si>
  <si>
    <t>tata</t>
  </si>
  <si>
    <r>
      <rPr>
        <rFont val="Arial,sans-serif"/>
        <color rgb="FF1155CC"/>
        <u/>
      </rPr>
      <t>https://trailhead.salesforce.com/</t>
    </r>
  </si>
  <si>
    <r>
      <rPr>
        <color rgb="FF1155CC"/>
        <u/>
      </rPr>
      <t>https://course.elementsofai.com/</t>
    </r>
  </si>
  <si>
    <r>
      <rPr>
        <color rgb="FF1155CC"/>
        <u/>
      </rPr>
      <t>https://course.elementsofai.com/</t>
    </r>
  </si>
  <si>
    <r>
      <rPr>
        <rFont val="Arial,sans-serif"/>
        <color rgb="FF1155CC"/>
        <u/>
      </rPr>
      <t>https://training.fortinet.com/local/staticpage/view.php?page=nse_1</t>
    </r>
  </si>
  <si>
    <t>Michigan</t>
  </si>
  <si>
    <t>Macquairie</t>
  </si>
  <si>
    <r>
      <rPr>
        <rFont val="Arial,sans-serif"/>
        <color rgb="FF1155CC"/>
        <u/>
      </rPr>
      <t>https://training.fortinet.com/local/staticpage/view.php?page=nse_2</t>
    </r>
  </si>
  <si>
    <t>calarts</t>
  </si>
  <si>
    <r>
      <rPr>
        <color rgb="FF1155CC"/>
        <u/>
      </rPr>
      <t>https://cognitiveclass.ai/courses/introduction-to-cloud</t>
    </r>
  </si>
  <si>
    <r>
      <rPr>
        <rFont val="Arial,sans-serif"/>
        <color rgb="FF1155CC"/>
        <u/>
      </rPr>
      <t>https://training.fortinet.com/local/staticpage/view.php?page=nse_3</t>
    </r>
  </si>
  <si>
    <t>yale</t>
  </si>
  <si>
    <r>
      <rPr>
        <rFont val="Arial,sans-serif"/>
        <color rgb="FF1155CC"/>
        <u/>
      </rPr>
      <t>https://learn.snowflake.com/en/courses/OD-ESS-DWW/</t>
    </r>
  </si>
  <si>
    <r>
      <rPr>
        <color rgb="FF1155CC"/>
        <u/>
      </rPr>
      <t>https://learn.saylor.org/course/cs107</t>
    </r>
  </si>
  <si>
    <r>
      <rPr>
        <rFont val="Arial,sans-serif"/>
        <color rgb="FF1155CC"/>
        <u/>
      </rPr>
      <t>https://blogs.oracle.com/oracleuniversity/oci-certification-learning-paths-and-exams-2026-updates-now-available</t>
    </r>
  </si>
  <si>
    <t xml:space="preserve">freeCodeCamp Responsive Web Design </t>
  </si>
  <si>
    <r>
      <rPr>
        <rFont val="Arial,sans-serif"/>
        <color rgb="FF1155CC"/>
        <u/>
      </rPr>
      <t>https://www.paloaltonetworks.com/services/education/academy/learner</t>
    </r>
  </si>
  <si>
    <t>https://www.canva.com/en/design-school/courses/?</t>
  </si>
  <si>
    <t>https://go.netacad.com/Intro-to-Modern-AI_Registration.html?utm_source=chatgpt.com</t>
  </si>
  <si>
    <t>AI Fluency Framework &amp; Foundations</t>
  </si>
  <si>
    <t>Microsoft Applied skills</t>
  </si>
  <si>
    <t>Deloitte Data Analytics Job Simulation</t>
  </si>
  <si>
    <t>https://www.theforage.com/simulations/deloitte-au/data-analytics-s5zy</t>
  </si>
  <si>
    <t>Digital Marketing Certification</t>
  </si>
  <si>
    <t xml:space="preserve">Google cloud certified generative ai leader </t>
  </si>
  <si>
    <t>OCI AI Foundations Associate</t>
  </si>
  <si>
    <t>https://www.credly.com/org/amazon-web-services/badge/aws-educate-introduction-to-generative-ai-training-</t>
  </si>
  <si>
    <t>https://www.credly.com/org/ibm-skillsbuild/badge/artificial-intelligence-fundamentals</t>
  </si>
  <si>
    <t>Hugging face a smol course</t>
  </si>
  <si>
    <t>https://docs.cloudquest.skillbuilder.aws/coming-soon/index.html</t>
  </si>
  <si>
    <r>
      <rPr>
        <rFont val="Arial,sans-serif"/>
        <color rgb="FF1155CC"/>
        <sz val="11.0"/>
        <u/>
      </rPr>
      <t>https://www.coursera.org/learn/google-ai-essentials</t>
    </r>
  </si>
  <si>
    <r>
      <rPr>
        <rFont val="Arial,sans-serif"/>
        <color rgb="FF1155CC"/>
        <sz val="11.0"/>
        <u/>
      </rPr>
      <t>https://examregistration.github.com/certification/GHF</t>
    </r>
  </si>
  <si>
    <r>
      <rPr>
        <rFont val="Arial,sans-serif"/>
        <color rgb="FF1155CC"/>
        <sz val="11.0"/>
        <u/>
      </rPr>
      <t>https://academy.hubspot.com/courses/digital-marketing</t>
    </r>
  </si>
  <si>
    <t>IBM SkillsBuild Cybersecurity Certificate</t>
  </si>
  <si>
    <r>
      <rPr>
        <rFont val="Arial,sans-serif"/>
        <color rgb="FF1155CC"/>
        <sz val="11.0"/>
        <u/>
      </rPr>
      <t>https://skillsbuild.org/college-students/course-catalog/ibm-skillsbuild-cybersecurity-certificate</t>
    </r>
  </si>
  <si>
    <t>Google Cloud Geneartive AI Leader</t>
  </si>
  <si>
    <t>AWS Certified Machine Learning Engineer - Associate</t>
  </si>
  <si>
    <t>https://aws.amazon.com/certification/certified-machine-learning-engineer-associate/</t>
  </si>
  <si>
    <r>
      <rPr>
        <rFont val="Arial,sans-serif"/>
        <color rgb="FF1155CC"/>
        <sz val="11.0"/>
        <u/>
      </rPr>
      <t>https://examregistration.github.com/certification/GHF</t>
    </r>
  </si>
  <si>
    <r>
      <rPr>
        <rFont val="Arial,sans-serif"/>
        <color rgb="FF1155CC"/>
        <u/>
      </rPr>
      <t>https://www.netacad.com/courses/introduction-to-cybersecurity</t>
    </r>
  </si>
  <si>
    <t>AI Foundations</t>
  </si>
  <si>
    <t xml:space="preserve"> Agents and Workflows</t>
  </si>
  <si>
    <r>
      <rPr>
        <rFont val="Arial,sans-serif"/>
        <color rgb="FF1155CC"/>
        <u/>
      </rPr>
      <t>https://cs50.harvard.edu/x/certificate/</t>
    </r>
  </si>
  <si>
    <r>
      <rPr>
        <rFont val="Arial,sans-serif"/>
        <color rgb="FF1155CC"/>
        <u/>
      </rPr>
      <t>https://academy.hubspot.com/courses/inbound</t>
    </r>
  </si>
  <si>
    <r>
      <rPr>
        <rFont val="Arial,sans-serif"/>
        <color rgb="FF1155CC"/>
        <u/>
      </rPr>
      <t>https://skillbuilder.aws/learn/FU5WCYVGKY/aws-cloud-quest-cloud-practitioner/JF9TKU68GT</t>
    </r>
  </si>
  <si>
    <r>
      <rPr>
        <rFont val="Arial,sans-serif"/>
        <color rgb="FF1155CC"/>
        <u/>
      </rPr>
      <t>https://www.kaggle.com/learn/intro-to-sql</t>
    </r>
  </si>
  <si>
    <r>
      <rPr>
        <rFont val="Arial,sans-serif"/>
        <color rgb="FF1155CC"/>
        <u/>
      </rPr>
      <t>https://www.kaggle.com/learn/intro-to-machine-learning</t>
    </r>
  </si>
  <si>
    <r>
      <rPr>
        <rFont val="Arial,sans-serif"/>
        <color rgb="FF1155CC"/>
        <u/>
      </rPr>
      <t>https://www.kaggle.com/learn/python</t>
    </r>
  </si>
  <si>
    <r>
      <rPr>
        <rFont val="Arial,sans-serif"/>
        <color rgb="FF1155CC"/>
        <u/>
      </rPr>
      <t>https://www.netacad.com/courses/introduction-iot</t>
    </r>
  </si>
  <si>
    <r>
      <rPr>
        <rFont val="Arial,sans-serif"/>
        <color rgb="FF1155CC"/>
        <u/>
      </rPr>
      <t>https://www.netacad.com/courses/networking-basics</t>
    </r>
  </si>
  <si>
    <r>
      <rPr>
        <rFont val="Arial,sans-serif"/>
        <color rgb="FF1155CC"/>
        <u/>
      </rPr>
      <t>https://academy.hubspot.com/courses/digital-marketing</t>
    </r>
  </si>
  <si>
    <r>
      <rPr>
        <rFont val="Arial,sans-serif"/>
        <color rgb="FF1155CC"/>
        <u/>
      </rPr>
      <t>https://trailhead.salesforce.com/</t>
    </r>
  </si>
  <si>
    <r>
      <rPr>
        <rFont val="Arial,sans-serif"/>
        <color rgb="FF1155CC"/>
        <u/>
      </rPr>
      <t>https://training.fortinet.com/local/staticpage/view.php?page=nse_1</t>
    </r>
  </si>
  <si>
    <r>
      <rPr>
        <rFont val="Arial,sans-serif"/>
        <color rgb="FF1155CC"/>
        <u/>
      </rPr>
      <t>https://training.fortinet.com/local/staticpage/view.php?page=nse_2</t>
    </r>
  </si>
  <si>
    <r>
      <rPr>
        <rFont val="Arial,sans-serif"/>
        <color rgb="FF1155CC"/>
        <u/>
      </rPr>
      <t>https://training.fortinet.com/local/staticpage/view.php?page=nse_3</t>
    </r>
  </si>
  <si>
    <r>
      <rPr>
        <rFont val="Arial,sans-serif"/>
        <color rgb="FF1155CC"/>
        <u/>
      </rPr>
      <t>https://learn.snowflake.com/en/courses/OD-ESS-DWW/</t>
    </r>
  </si>
  <si>
    <r>
      <rPr>
        <rFont val="Arial,sans-serif"/>
        <color rgb="FF1155CC"/>
        <u/>
      </rPr>
      <t>https://www.paloaltonetworks.com/services/education/academy/learner</t>
    </r>
  </si>
  <si>
    <r>
      <rPr>
        <rFont val="Arial,sans-serif"/>
        <color rgb="FF1155CC"/>
        <sz val="11.0"/>
        <u/>
      </rPr>
      <t>https://www.coursera.org/learn/google-ai-essentials</t>
    </r>
  </si>
  <si>
    <r>
      <rPr>
        <rFont val="Arial,sans-serif"/>
        <color rgb="FF1155CC"/>
        <sz val="11.0"/>
        <u/>
      </rPr>
      <t>https://examregistration.github.com/certification/GHF</t>
    </r>
  </si>
  <si>
    <r>
      <rPr>
        <rFont val="Arial,sans-serif"/>
        <color rgb="FF1155CC"/>
        <sz val="11.0"/>
        <u/>
      </rPr>
      <t>https://academy.hubspot.com/courses/digital-marketing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</si>
</sst>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sz val="11.0"/>
      <color rgb="FF1155CC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b/>
      <sz val="24.0"/>
      <color rgb="FF0D0F12"/>
      <name val="Arial"/>
      <scheme val="minor"/>
    </font>
    <font>
      <color rgb="FF332E29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4" numFmtId="0" xfId="0" applyFont="1"/>
    <xf borderId="0" fillId="2" fontId="1" numFmtId="0" xfId="0" applyAlignment="1" applyFill="1" applyFont="1">
      <alignment readingOrder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readingOrder="0" vertical="bottom"/>
    </xf>
    <xf borderId="0" fillId="3" fontId="11" numFmtId="0" xfId="0" applyAlignment="1" applyFill="1" applyFont="1">
      <alignment readingOrder="0"/>
    </xf>
    <xf borderId="0" fillId="0" fontId="1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nstagram.com/cindiezhu/?hl=en&amp;e=f02cf9f9-337a-481e-9b29-934ca3789926&amp;g=5" TargetMode="External"/><Relationship Id="rId11" Type="http://schemas.openxmlformats.org/officeDocument/2006/relationships/hyperlink" Target="http://jakemok.io/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www.instagram.com/matebreton/?hl=en&amp;g=5" TargetMode="External"/><Relationship Id="rId21" Type="http://schemas.openxmlformats.org/officeDocument/2006/relationships/hyperlink" Target="https://www.instagram.com/chase_enloe/" TargetMode="External"/><Relationship Id="rId13" Type="http://schemas.openxmlformats.org/officeDocument/2006/relationships/hyperlink" Target="https://www.instagram.com/jackk_flick/" TargetMode="External"/><Relationship Id="rId12" Type="http://schemas.openxmlformats.org/officeDocument/2006/relationships/hyperlink" Target="https://www.instagram.com/jakemok.io/" TargetMode="External"/><Relationship Id="rId1" Type="http://schemas.openxmlformats.org/officeDocument/2006/relationships/hyperlink" Target="https://www.instagram.com/alamin.8020ai/?hl=en&amp;g=5" TargetMode="External"/><Relationship Id="rId2" Type="http://schemas.openxmlformats.org/officeDocument/2006/relationships/hyperlink" Target="http://spiralcontent.ai/" TargetMode="External"/><Relationship Id="rId3" Type="http://schemas.openxmlformats.org/officeDocument/2006/relationships/hyperlink" Target="https://www.instagram.com/uj_umarjamal/?hl=en&amp;e=caa4921a-8696-48b0-933a-1821dc19eea5&amp;g=5" TargetMode="External"/><Relationship Id="rId4" Type="http://schemas.openxmlformats.org/officeDocument/2006/relationships/hyperlink" Target="https://www.instagram.com/furiouslytech/?hl=en&amp;e=f50ba139-42d8-48bd-a303-f39239a10159&amp;g=5" TargetMode="External"/><Relationship Id="rId9" Type="http://schemas.openxmlformats.org/officeDocument/2006/relationships/hyperlink" Target="https://www.instagram.com/johncorbett777/?hl=en&amp;e=f88c91bb-a1a2-4e5b-8dd6-fefb6fb0a82c&amp;g=5" TargetMode="External"/><Relationship Id="rId15" Type="http://schemas.openxmlformats.org/officeDocument/2006/relationships/hyperlink" Target="https://www.instagram.com/jonesyslifestyle/" TargetMode="External"/><Relationship Id="rId14" Type="http://schemas.openxmlformats.org/officeDocument/2006/relationships/hyperlink" Target="https://www.instagram.com/ai.veerse/" TargetMode="External"/><Relationship Id="rId17" Type="http://schemas.openxmlformats.org/officeDocument/2006/relationships/hyperlink" Target="https://www.instagram.com/ssssafin/" TargetMode="External"/><Relationship Id="rId16" Type="http://schemas.openxmlformats.org/officeDocument/2006/relationships/hyperlink" Target="https://www.instagram.com/pirknn/" TargetMode="External"/><Relationship Id="rId5" Type="http://schemas.openxmlformats.org/officeDocument/2006/relationships/hyperlink" Target="https://www.instagram.com/jerryjhlee/?hl=en&amp;g=5" TargetMode="External"/><Relationship Id="rId19" Type="http://schemas.openxmlformats.org/officeDocument/2006/relationships/hyperlink" Target="https://www.instagram.com/basunverse/?hl=en&amp;e=be78c148-dd09-4136-a0cd-9cf1e4dd6eb6&amp;g=5" TargetMode="External"/><Relationship Id="rId6" Type="http://schemas.openxmlformats.org/officeDocument/2006/relationships/hyperlink" Target="https://www.instagram.com/krishnagangwal.ai/" TargetMode="External"/><Relationship Id="rId18" Type="http://schemas.openxmlformats.org/officeDocument/2006/relationships/hyperlink" Target="https://www.instagram.com/the.agi.guide/?hl=en&amp;e=5c9b1f10-0ecd-4036-bed8-a4fa3d049e10&amp;g=5" TargetMode="External"/><Relationship Id="rId7" Type="http://schemas.openxmlformats.org/officeDocument/2006/relationships/hyperlink" Target="https://www.instagram.com/itsztales/?hl=en&amp;e=844e73f7-1c53-402c-8bc4-377061bbfdfc&amp;g=5" TargetMode="External"/><Relationship Id="rId8" Type="http://schemas.openxmlformats.org/officeDocument/2006/relationships/hyperlink" Target="https://www.instagram.com/sujar.tech/?hl=en&amp;e=da110fbe-0f8f-4a3b-95fa-a28b894cf027&amp;g=5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academy.hubspot.com/courses/social-media" TargetMode="External"/><Relationship Id="rId42" Type="http://schemas.openxmlformats.org/officeDocument/2006/relationships/hyperlink" Target="https://www.facebook.com/business/learn/social-media-marketing-certificate-coursera" TargetMode="External"/><Relationship Id="rId41" Type="http://schemas.openxmlformats.org/officeDocument/2006/relationships/hyperlink" Target="https://academy.hubspot.com/courses/email-marketing-certification-en" TargetMode="External"/><Relationship Id="rId44" Type="http://schemas.openxmlformats.org/officeDocument/2006/relationships/hyperlink" Target="http://www.coursera.org/professional-certificates/microsoft-power-bi-data-analyst" TargetMode="External"/><Relationship Id="rId43" Type="http://schemas.openxmlformats.org/officeDocument/2006/relationships/hyperlink" Target="https://learn.microsoft.com/en-us/credentials/certifications/azure-ai-fundamentals/" TargetMode="External"/><Relationship Id="rId46" Type="http://schemas.openxmlformats.org/officeDocument/2006/relationships/hyperlink" Target="https://www.linkedin.com/learning/paths/career-essentials-in-generative-ai-by-microsoft-and-linkedin" TargetMode="External"/><Relationship Id="rId45" Type="http://schemas.openxmlformats.org/officeDocument/2006/relationships/hyperlink" Target="https://www.coursera.org/specializations/microsoft-azure-fundamentals-az900-exam-prep" TargetMode="External"/><Relationship Id="rId107" Type="http://schemas.openxmlformats.org/officeDocument/2006/relationships/hyperlink" Target="https://www.databricks.com/learn/certification/lakehouse-platform-fundamentals?utm_source=chatgpt.com" TargetMode="External"/><Relationship Id="rId106" Type="http://schemas.openxmlformats.org/officeDocument/2006/relationships/hyperlink" Target="http://jakemok.io/" TargetMode="External"/><Relationship Id="rId105" Type="http://schemas.openxmlformats.org/officeDocument/2006/relationships/hyperlink" Target="https://www.kaggle.com/learn/python" TargetMode="External"/><Relationship Id="rId104" Type="http://schemas.openxmlformats.org/officeDocument/2006/relationships/hyperlink" Target="http://jakemok.io/" TargetMode="External"/><Relationship Id="rId109" Type="http://schemas.openxmlformats.org/officeDocument/2006/relationships/hyperlink" Target="https://www.databricks.com/learn/training/certification" TargetMode="External"/><Relationship Id="rId108" Type="http://schemas.openxmlformats.org/officeDocument/2006/relationships/hyperlink" Target="http://jakemok.io/" TargetMode="External"/><Relationship Id="rId48" Type="http://schemas.openxmlformats.org/officeDocument/2006/relationships/hyperlink" Target="https://www.netacad.com/courses/ai-ibm-skillsbuild?courseLang=en-US" TargetMode="External"/><Relationship Id="rId47" Type="http://schemas.openxmlformats.org/officeDocument/2006/relationships/hyperlink" Target="https://www.coursera.org/professional-certificates/ibm-data-science?utm_medium=sem&amp;utm_source=gg&amp;utm_campaign=b2c_apac_ibm-data-science_ibm_ftcof_professional-certificates_cx_dr_bau_gg_sem_pr_s3_en_m_hyb_24-05_x&amp;campaignid=21260288546&amp;adgroupid=161508822226&amp;device=c&amp;keyword=ibm%20data%20science&amp;matchtype=p&amp;network=g&amp;devicemodel=&amp;creativeid=698924747646&amp;assetgroupid=&amp;targetid=kwd-312859523693&amp;extensionid=&amp;placement=&amp;gad_source=1&amp;gad_campaignid=21260288546&amp;gclid=CjwKCAjwxeHWBhBPEiwAiqtQ-RpUT_ZGlCDSp9K3kxSDmxfi1LmWlsN1s9aS9kZV5op1XyTz-gb3VxoCKZEQAvD_BwE" TargetMode="External"/><Relationship Id="rId186" Type="http://schemas.openxmlformats.org/officeDocument/2006/relationships/drawing" Target="../drawings/drawing2.xml"/><Relationship Id="rId185" Type="http://schemas.openxmlformats.org/officeDocument/2006/relationships/hyperlink" Target="https://academy.openai.com/public/courses/ai-leadership-kaf7k" TargetMode="External"/><Relationship Id="rId49" Type="http://schemas.openxmlformats.org/officeDocument/2006/relationships/hyperlink" Target="https://www.freecodecamp.org/learn/responsive-web-design-v9/" TargetMode="External"/><Relationship Id="rId184" Type="http://schemas.openxmlformats.org/officeDocument/2006/relationships/hyperlink" Target="https://academy.openai.com/public/courses/agents-and-workflows-y0qoc" TargetMode="External"/><Relationship Id="rId103" Type="http://schemas.openxmlformats.org/officeDocument/2006/relationships/hyperlink" Target="https://www.kaggle.com/learn/intro-to-machine-learning" TargetMode="External"/><Relationship Id="rId102" Type="http://schemas.openxmlformats.org/officeDocument/2006/relationships/hyperlink" Target="http://jakemok.io/" TargetMode="External"/><Relationship Id="rId101" Type="http://schemas.openxmlformats.org/officeDocument/2006/relationships/hyperlink" Target="https://www.kaggle.com/learn/intro-to-sql" TargetMode="External"/><Relationship Id="rId100" Type="http://schemas.openxmlformats.org/officeDocument/2006/relationships/hyperlink" Target="http://jakemok.io/" TargetMode="External"/><Relationship Id="rId31" Type="http://schemas.openxmlformats.org/officeDocument/2006/relationships/hyperlink" Target="https://learn.oracle.com/ols/learning-path/become-an-oci-ai-foundations-associate/146553/163544" TargetMode="External"/><Relationship Id="rId30" Type="http://schemas.openxmlformats.org/officeDocument/2006/relationships/hyperlink" Target="https://grow.google/ai-essentials/?srsltid=AU7gw4U-100zB_pjoZTFgfOunZ93kYMS4W9UdBNQA7obTkjen6Ozqe4m" TargetMode="External"/><Relationship Id="rId33" Type="http://schemas.openxmlformats.org/officeDocument/2006/relationships/hyperlink" Target="http://www.coursera.org/professional-certificates/google-digital-marketing-ecommerce" TargetMode="External"/><Relationship Id="rId183" Type="http://schemas.openxmlformats.org/officeDocument/2006/relationships/hyperlink" Target="https://academy.openai.com/public/courses/applied-ai-foundations-szsmv" TargetMode="External"/><Relationship Id="rId32" Type="http://schemas.openxmlformats.org/officeDocument/2006/relationships/hyperlink" Target="https://aws.amazon.com/certification/certified-cloud-practitioner/" TargetMode="External"/><Relationship Id="rId182" Type="http://schemas.openxmlformats.org/officeDocument/2006/relationships/hyperlink" Target="https://academy.openai.com/public/courses/ai-foundations-dnq5w" TargetMode="External"/><Relationship Id="rId35" Type="http://schemas.openxmlformats.org/officeDocument/2006/relationships/hyperlink" Target="https://skillshop.docebosaas.com/learn/courses/18609/google-analytics-certification-2026" TargetMode="External"/><Relationship Id="rId181" Type="http://schemas.openxmlformats.org/officeDocument/2006/relationships/hyperlink" Target="https://learn.mongodb.com/courses/ai-agents-with-mongodb" TargetMode="External"/><Relationship Id="rId34" Type="http://schemas.openxmlformats.org/officeDocument/2006/relationships/hyperlink" Target="https://www.coursera.org/learn/google-ai-essentials" TargetMode="External"/><Relationship Id="rId180" Type="http://schemas.openxmlformats.org/officeDocument/2006/relationships/hyperlink" Target="https://learn.microsoft.com/en-us/credentials/applied-skills/develop-an-agent-with-integrated-tools/" TargetMode="External"/><Relationship Id="rId37" Type="http://schemas.openxmlformats.org/officeDocument/2006/relationships/hyperlink" Target="https://www.coursera.org/professional-certificates/google-project-management" TargetMode="External"/><Relationship Id="rId176" Type="http://schemas.openxmlformats.org/officeDocument/2006/relationships/hyperlink" Target="https://academy.langchain.com/courses/langchain-essentials-python" TargetMode="External"/><Relationship Id="rId36" Type="http://schemas.openxmlformats.org/officeDocument/2006/relationships/hyperlink" Target="https://www.coursera.org/professional-certificates/google-data-analytics" TargetMode="External"/><Relationship Id="rId175" Type="http://schemas.openxmlformats.org/officeDocument/2006/relationships/hyperlink" Target="https://academy.claude.com/courses/building-effective-human-agent-teams" TargetMode="External"/><Relationship Id="rId39" Type="http://schemas.openxmlformats.org/officeDocument/2006/relationships/hyperlink" Target="https://academy.hubspot.com/courses/digital-marketing" TargetMode="External"/><Relationship Id="rId174" Type="http://schemas.openxmlformats.org/officeDocument/2006/relationships/hyperlink" Target="https://huggingface.co/learn/agents-course" TargetMode="External"/><Relationship Id="rId38" Type="http://schemas.openxmlformats.org/officeDocument/2006/relationships/hyperlink" Target="https://academy.hubspot.com/courses/content-marketing" TargetMode="External"/><Relationship Id="rId173" Type="http://schemas.openxmlformats.org/officeDocument/2006/relationships/hyperlink" Target="https://www.databricks.com/training/catalog/generative-ai-fundamentals-1765" TargetMode="External"/><Relationship Id="rId179" Type="http://schemas.openxmlformats.org/officeDocument/2006/relationships/hyperlink" Target="https://academy.langchain.com/courses/quickstart-agent-builder" TargetMode="External"/><Relationship Id="rId178" Type="http://schemas.openxmlformats.org/officeDocument/2006/relationships/hyperlink" Target="https://academy.claude.com/courses/model-context-protocol-advanced-topics" TargetMode="External"/><Relationship Id="rId177" Type="http://schemas.openxmlformats.org/officeDocument/2006/relationships/hyperlink" Target="https://academy.claude.com/courses/claude-platform-101" TargetMode="External"/><Relationship Id="rId20" Type="http://schemas.openxmlformats.org/officeDocument/2006/relationships/hyperlink" Target="https://skillbuilder.aws/learn/VF6H4SZ1BU/foundations-of-prompt-engineering/7U8XFUVXDT" TargetMode="External"/><Relationship Id="rId22" Type="http://schemas.openxmlformats.org/officeDocument/2006/relationships/hyperlink" Target="https://www.edx.org/learn/data-science/ibm-sql-for-data-science" TargetMode="External"/><Relationship Id="rId21" Type="http://schemas.openxmlformats.org/officeDocument/2006/relationships/hyperlink" Target="https://www.edx.org/learn/python/edx-try-it-intro-to-python" TargetMode="External"/><Relationship Id="rId24" Type="http://schemas.openxmlformats.org/officeDocument/2006/relationships/hyperlink" Target="https://www.netacad.com/courses/data-science-essentials-with-python?courseLang=en-US" TargetMode="External"/><Relationship Id="rId23" Type="http://schemas.openxmlformats.org/officeDocument/2006/relationships/hyperlink" Target="https://www.coursera.org/learn/data-analysis-with-python" TargetMode="External"/><Relationship Id="rId129" Type="http://schemas.openxmlformats.org/officeDocument/2006/relationships/hyperlink" Target="https://training.fortinet.com/local/staticpage/view.php?page=nse_3" TargetMode="External"/><Relationship Id="rId128" Type="http://schemas.openxmlformats.org/officeDocument/2006/relationships/hyperlink" Target="http://jakemok.io/" TargetMode="External"/><Relationship Id="rId127" Type="http://schemas.openxmlformats.org/officeDocument/2006/relationships/hyperlink" Target="https://training.fortinet.com/local/staticpage/view.php?page=nse_2" TargetMode="External"/><Relationship Id="rId126" Type="http://schemas.openxmlformats.org/officeDocument/2006/relationships/hyperlink" Target="http://jakemok.io/" TargetMode="External"/><Relationship Id="rId26" Type="http://schemas.openxmlformats.org/officeDocument/2006/relationships/hyperlink" Target="https://www.theforage.com/simulations/deloitte-au/dataanalytics-s5zy" TargetMode="External"/><Relationship Id="rId121" Type="http://schemas.openxmlformats.org/officeDocument/2006/relationships/hyperlink" Target="https://academy.hubspot.com/courses/digital-marketing" TargetMode="External"/><Relationship Id="rId25" Type="http://schemas.openxmlformats.org/officeDocument/2006/relationships/hyperlink" Target="https://www.datacamp.com/certification/data-engineer" TargetMode="External"/><Relationship Id="rId120" Type="http://schemas.openxmlformats.org/officeDocument/2006/relationships/hyperlink" Target="http://jakemok.io/" TargetMode="External"/><Relationship Id="rId28" Type="http://schemas.openxmlformats.org/officeDocument/2006/relationships/hyperlink" Target="https://cs50.harvard.edu/x/certificate/" TargetMode="External"/><Relationship Id="rId27" Type="http://schemas.openxmlformats.org/officeDocument/2006/relationships/hyperlink" Target="https://www.theforage.com/simulations/siemens-mobility/operations-industrial-engineering-xh22" TargetMode="External"/><Relationship Id="rId125" Type="http://schemas.openxmlformats.org/officeDocument/2006/relationships/hyperlink" Target="https://training.fortinet.com/local/staticpage/view.php?page=nse_1" TargetMode="External"/><Relationship Id="rId29" Type="http://schemas.openxmlformats.org/officeDocument/2006/relationships/hyperlink" Target="https://anthropic-partners.skilljar.com/claude-certified-architect-foundations-certification" TargetMode="External"/><Relationship Id="rId124" Type="http://schemas.openxmlformats.org/officeDocument/2006/relationships/hyperlink" Target="http://jakemok.io/" TargetMode="External"/><Relationship Id="rId123" Type="http://schemas.openxmlformats.org/officeDocument/2006/relationships/hyperlink" Target="https://trailhead.salesforce.com/" TargetMode="External"/><Relationship Id="rId122" Type="http://schemas.openxmlformats.org/officeDocument/2006/relationships/hyperlink" Target="http://jakemok.io/" TargetMode="External"/><Relationship Id="rId95" Type="http://schemas.openxmlformats.org/officeDocument/2006/relationships/hyperlink" Target="https://cs50.harvard.edu/x/certificate/" TargetMode="External"/><Relationship Id="rId94" Type="http://schemas.openxmlformats.org/officeDocument/2006/relationships/hyperlink" Target="http://jakemok.io/" TargetMode="External"/><Relationship Id="rId97" Type="http://schemas.openxmlformats.org/officeDocument/2006/relationships/hyperlink" Target="https://academy.hubspot.com/courses/inbound" TargetMode="External"/><Relationship Id="rId96" Type="http://schemas.openxmlformats.org/officeDocument/2006/relationships/hyperlink" Target="http://jakemok.io/" TargetMode="External"/><Relationship Id="rId11" Type="http://schemas.openxmlformats.org/officeDocument/2006/relationships/hyperlink" Target="https://www.theforage.com/simulations/pwc-us/audit-w3fr" TargetMode="External"/><Relationship Id="rId99" Type="http://schemas.openxmlformats.org/officeDocument/2006/relationships/hyperlink" Target="https://skillbuilder.aws/learn/FU5WCYVGKY/aws-cloud-quest-cloud-practitioner/JF9TKU68GT" TargetMode="External"/><Relationship Id="rId10" Type="http://schemas.openxmlformats.org/officeDocument/2006/relationships/hyperlink" Target="https://www.theforage.com/simulations/kpmg-ca/auditassurance-el6n" TargetMode="External"/><Relationship Id="rId98" Type="http://schemas.openxmlformats.org/officeDocument/2006/relationships/hyperlink" Target="http://jakemok.io/" TargetMode="External"/><Relationship Id="rId13" Type="http://schemas.openxmlformats.org/officeDocument/2006/relationships/hyperlink" Target="https://www.theforage.com/simulations/ey/technology-risk-ydqh" TargetMode="External"/><Relationship Id="rId12" Type="http://schemas.openxmlformats.org/officeDocument/2006/relationships/hyperlink" Target="https://www.theforage.com/simulations/ey/audit-k5kl" TargetMode="External"/><Relationship Id="rId91" Type="http://schemas.openxmlformats.org/officeDocument/2006/relationships/hyperlink" Target="https://skillsbuild.org/college-students/course-catalog/getting-started-with-cybersecurity" TargetMode="External"/><Relationship Id="rId90" Type="http://schemas.openxmlformats.org/officeDocument/2006/relationships/hyperlink" Target="http://jakemok.io/" TargetMode="External"/><Relationship Id="rId93" Type="http://schemas.openxmlformats.org/officeDocument/2006/relationships/hyperlink" Target="https://learn.microsoft.com/en-us/credentials/applied-skills/" TargetMode="External"/><Relationship Id="rId92" Type="http://schemas.openxmlformats.org/officeDocument/2006/relationships/hyperlink" Target="http://jakemok.io/" TargetMode="External"/><Relationship Id="rId118" Type="http://schemas.openxmlformats.org/officeDocument/2006/relationships/hyperlink" Target="http://jakemok.io/" TargetMode="External"/><Relationship Id="rId117" Type="http://schemas.openxmlformats.org/officeDocument/2006/relationships/hyperlink" Target="https://www.netacad.com/courses/introduction-iot" TargetMode="External"/><Relationship Id="rId116" Type="http://schemas.openxmlformats.org/officeDocument/2006/relationships/hyperlink" Target="http://jakemok.io/" TargetMode="External"/><Relationship Id="rId115" Type="http://schemas.openxmlformats.org/officeDocument/2006/relationships/hyperlink" Target="https://skillbuilder.aws/learn/FU5WCYVGKY/aws-cloud-quest-cloud-practitioner/JF9TKU68GT" TargetMode="External"/><Relationship Id="rId119" Type="http://schemas.openxmlformats.org/officeDocument/2006/relationships/hyperlink" Target="https://www.netacad.com/courses/networking-basics" TargetMode="External"/><Relationship Id="rId15" Type="http://schemas.openxmlformats.org/officeDocument/2006/relationships/hyperlink" Target="https://www.theforage.com/simulations/kpmg-ca/tax-m4t0" TargetMode="External"/><Relationship Id="rId110" Type="http://schemas.openxmlformats.org/officeDocument/2006/relationships/hyperlink" Target="http://jakemok.io/" TargetMode="External"/><Relationship Id="rId14" Type="http://schemas.openxmlformats.org/officeDocument/2006/relationships/hyperlink" Target="https://www.theforage.com/simulations/deloitte-au/dataanalytics-s5zy" TargetMode="External"/><Relationship Id="rId17" Type="http://schemas.openxmlformats.org/officeDocument/2006/relationships/hyperlink" Target="https://www.theforage.com/simulations/accaapac/sustainability-banking-4sca" TargetMode="External"/><Relationship Id="rId16" Type="http://schemas.openxmlformats.org/officeDocument/2006/relationships/hyperlink" Target="https://www.theforage.com/simulations/pwc-us/tax-l9rj" TargetMode="External"/><Relationship Id="rId19" Type="http://schemas.openxmlformats.org/officeDocument/2006/relationships/hyperlink" Target="https://www.theforage.com/simulations/pnc/professionalism-power-skills-dxef" TargetMode="External"/><Relationship Id="rId114" Type="http://schemas.openxmlformats.org/officeDocument/2006/relationships/hyperlink" Target="http://jakemok.io/" TargetMode="External"/><Relationship Id="rId18" Type="http://schemas.openxmlformats.org/officeDocument/2006/relationships/hyperlink" Target="https://www.theforage.com/simulations/goldmansachs/controllers-8npc" TargetMode="External"/><Relationship Id="rId113" Type="http://schemas.openxmlformats.org/officeDocument/2006/relationships/hyperlink" Target="https://www.skills.google/" TargetMode="External"/><Relationship Id="rId112" Type="http://schemas.openxmlformats.org/officeDocument/2006/relationships/hyperlink" Target="http://jakemok.io/" TargetMode="External"/><Relationship Id="rId111" Type="http://schemas.openxmlformats.org/officeDocument/2006/relationships/hyperlink" Target="https://skillsbuild.org/college-students/course-catalog/" TargetMode="External"/><Relationship Id="rId84" Type="http://schemas.openxmlformats.org/officeDocument/2006/relationships/hyperlink" Target="http://jakemok.io/" TargetMode="External"/><Relationship Id="rId83" Type="http://schemas.openxmlformats.org/officeDocument/2006/relationships/hyperlink" Target="https://www.theforage.com/simulations/tata/data-analytics-t3zr" TargetMode="External"/><Relationship Id="rId86" Type="http://schemas.openxmlformats.org/officeDocument/2006/relationships/hyperlink" Target="http://jakemok.io/" TargetMode="External"/><Relationship Id="rId85" Type="http://schemas.openxmlformats.org/officeDocument/2006/relationships/hyperlink" Target="https://learn.oracle.com/ols/learning-path/become-an-oci-ai-foundations-associate/146553/163544" TargetMode="External"/><Relationship Id="rId88" Type="http://schemas.openxmlformats.org/officeDocument/2006/relationships/hyperlink" Target="http://jakemok.io/" TargetMode="External"/><Relationship Id="rId150" Type="http://schemas.openxmlformats.org/officeDocument/2006/relationships/hyperlink" Target="https://cognitiveclass.ai/courses/learn-sql-relational-databases" TargetMode="External"/><Relationship Id="rId87" Type="http://schemas.openxmlformats.org/officeDocument/2006/relationships/hyperlink" Target="https://examregistration.github.com/certification/GHF" TargetMode="External"/><Relationship Id="rId89" Type="http://schemas.openxmlformats.org/officeDocument/2006/relationships/hyperlink" Target="https://www.netacad.com/courses/introduction-to-cybersecurity" TargetMode="External"/><Relationship Id="rId80" Type="http://schemas.openxmlformats.org/officeDocument/2006/relationships/hyperlink" Target="https://www.theforage.com/simulations/skyscanner/front-end-software-engineering-cbwl" TargetMode="External"/><Relationship Id="rId82" Type="http://schemas.openxmlformats.org/officeDocument/2006/relationships/hyperlink" Target="https://www.theforage.com/simulations/bcg/data-science-ccdz" TargetMode="External"/><Relationship Id="rId81" Type="http://schemas.openxmlformats.org/officeDocument/2006/relationships/hyperlink" Target="https://www.theforage.com/simulations/mastercard/cybersecurity-t8ye" TargetMode="External"/><Relationship Id="rId1" Type="http://schemas.openxmlformats.org/officeDocument/2006/relationships/hyperlink" Target="http://theforage.com/simulations/deloitte-au/data-analytics-s5zy" TargetMode="External"/><Relationship Id="rId2" Type="http://schemas.openxmlformats.org/officeDocument/2006/relationships/hyperlink" Target="https://www.coursera.org/professional-certificates/google-advanced-data-analytics" TargetMode="External"/><Relationship Id="rId3" Type="http://schemas.openxmlformats.org/officeDocument/2006/relationships/hyperlink" Target="https://www.coursera.org/professional-certificates/google-cybersecurity?" TargetMode="External"/><Relationship Id="rId149" Type="http://schemas.openxmlformats.org/officeDocument/2006/relationships/hyperlink" Target="https://www.theforage.com/simulations/deloitte-au/data-analytics-s5zy" TargetMode="External"/><Relationship Id="rId4" Type="http://schemas.openxmlformats.org/officeDocument/2006/relationships/hyperlink" Target="https://cloud.google.com/learn/certification/generative-ai-leader" TargetMode="External"/><Relationship Id="rId148" Type="http://schemas.openxmlformats.org/officeDocument/2006/relationships/hyperlink" Target="https://www.facebookblueprint.com/student/catalog" TargetMode="External"/><Relationship Id="rId9" Type="http://schemas.openxmlformats.org/officeDocument/2006/relationships/hyperlink" Target="https://www.google.com/url?q=https://www.kaggle.com/learn/intro-to-machine-learning&amp;sa=D&amp;source=editors&amp;ust=1792394798391140&amp;usg=AOvVaw1KrK0u-rcXsLIrZWcbCyG4" TargetMode="External"/><Relationship Id="rId143" Type="http://schemas.openxmlformats.org/officeDocument/2006/relationships/hyperlink" Target="https://go.netacad.com/Intro-to-Modern-AI_Registration.html?utm_source=chatgpt.com" TargetMode="External"/><Relationship Id="rId142" Type="http://schemas.openxmlformats.org/officeDocument/2006/relationships/hyperlink" Target="https://customer-academy.databricks.com/learn/courses/1811/generative-ai-fundamentals-accreditation?utm_source=chatgpt.com" TargetMode="External"/><Relationship Id="rId141" Type="http://schemas.openxmlformats.org/officeDocument/2006/relationships/hyperlink" Target="https://academy.openai.com/public/courses/ai-foundations-dnq5w" TargetMode="External"/><Relationship Id="rId140" Type="http://schemas.openxmlformats.org/officeDocument/2006/relationships/hyperlink" Target="https://www.canva.com/en/design-school/courses/?" TargetMode="External"/><Relationship Id="rId5" Type="http://schemas.openxmlformats.org/officeDocument/2006/relationships/hyperlink" Target="https://www.coursera.org/professional-certificates/google-it-automation" TargetMode="External"/><Relationship Id="rId147" Type="http://schemas.openxmlformats.org/officeDocument/2006/relationships/hyperlink" Target="https://learn.microsoft.com/en-us/credentials/applied-skills/" TargetMode="External"/><Relationship Id="rId6" Type="http://schemas.openxmlformats.org/officeDocument/2006/relationships/hyperlink" Target="https://www.coursera.org/learn/introduction-to-generative-ai" TargetMode="External"/><Relationship Id="rId146" Type="http://schemas.openxmlformats.org/officeDocument/2006/relationships/hyperlink" Target="https://anthropic.skilljar.com/ai-fluency-framework-foundations" TargetMode="External"/><Relationship Id="rId7" Type="http://schemas.openxmlformats.org/officeDocument/2006/relationships/hyperlink" Target="https://www.coursera.org/learn/agile-project-management" TargetMode="External"/><Relationship Id="rId145" Type="http://schemas.openxmlformats.org/officeDocument/2006/relationships/hyperlink" Target="https://www.cloudskillsboost.google/course_templates/536" TargetMode="External"/><Relationship Id="rId8" Type="http://schemas.openxmlformats.org/officeDocument/2006/relationships/hyperlink" Target="https://www.coursera.org/learn/google-ai-essentials" TargetMode="External"/><Relationship Id="rId144" Type="http://schemas.openxmlformats.org/officeDocument/2006/relationships/hyperlink" Target="https://pll.harvard.edu/course/cs50s-introduction-artificial-intelligence-python" TargetMode="External"/><Relationship Id="rId73" Type="http://schemas.openxmlformats.org/officeDocument/2006/relationships/hyperlink" Target="https://www.theforage.com/simulations/red-bull/on-premise-sales-waza" TargetMode="External"/><Relationship Id="rId72" Type="http://schemas.openxmlformats.org/officeDocument/2006/relationships/hyperlink" Target="https://www.theforage.com/simulations/siemens-mobility/project-management-qydx" TargetMode="External"/><Relationship Id="rId75" Type="http://schemas.openxmlformats.org/officeDocument/2006/relationships/hyperlink" Target="https://www.theforage.com/simulations/forage/sponsored-content-omnichannel-marketing-5iep" TargetMode="External"/><Relationship Id="rId74" Type="http://schemas.openxmlformats.org/officeDocument/2006/relationships/hyperlink" Target="https://www.theforage.com/simulations/pearson/marketing-oxce" TargetMode="External"/><Relationship Id="rId77" Type="http://schemas.openxmlformats.org/officeDocument/2006/relationships/hyperlink" Target="https://www.theforage.com/simulations/hewlett-packard-enterprise/digital-sales-mmkg" TargetMode="External"/><Relationship Id="rId76" Type="http://schemas.openxmlformats.org/officeDocument/2006/relationships/hyperlink" Target="https://www.theforage.com/simulations/bloomberg/client-engagement-a6hi" TargetMode="External"/><Relationship Id="rId79" Type="http://schemas.openxmlformats.org/officeDocument/2006/relationships/hyperlink" Target="https://www.theforage.com/simulations/jpmorgan/advanced-software-engineering-r0fm" TargetMode="External"/><Relationship Id="rId78" Type="http://schemas.openxmlformats.org/officeDocument/2006/relationships/hyperlink" Target="https://www.theforage.com/simulations/walmart/software-engineering-fceb" TargetMode="External"/><Relationship Id="rId71" Type="http://schemas.openxmlformats.org/officeDocument/2006/relationships/hyperlink" Target="https://www.theforage.com/simulations/cbre/project-management-x2vz" TargetMode="External"/><Relationship Id="rId70" Type="http://schemas.openxmlformats.org/officeDocument/2006/relationships/hyperlink" Target="https://www.theforage.com/simulations/bcg/digital-transformation-pk18" TargetMode="External"/><Relationship Id="rId139" Type="http://schemas.openxmlformats.org/officeDocument/2006/relationships/hyperlink" Target="https://www.paloaltonetworks.com/services/education/academy/learner" TargetMode="External"/><Relationship Id="rId138" Type="http://schemas.openxmlformats.org/officeDocument/2006/relationships/hyperlink" Target="http://jakemok.io/" TargetMode="External"/><Relationship Id="rId137" Type="http://schemas.openxmlformats.org/officeDocument/2006/relationships/hyperlink" Target="https://www.freecodecamp.org/learn/scientific-computing-with-python/" TargetMode="External"/><Relationship Id="rId132" Type="http://schemas.openxmlformats.org/officeDocument/2006/relationships/hyperlink" Target="http://jakemok.io/" TargetMode="External"/><Relationship Id="rId131" Type="http://schemas.openxmlformats.org/officeDocument/2006/relationships/hyperlink" Target="https://learn.snowflake.com/en/courses/OD-ESS-DWW/" TargetMode="External"/><Relationship Id="rId130" Type="http://schemas.openxmlformats.org/officeDocument/2006/relationships/hyperlink" Target="http://jakemok.io/" TargetMode="External"/><Relationship Id="rId136" Type="http://schemas.openxmlformats.org/officeDocument/2006/relationships/hyperlink" Target="http://jakemok.io/" TargetMode="External"/><Relationship Id="rId135" Type="http://schemas.openxmlformats.org/officeDocument/2006/relationships/hyperlink" Target="https://www.freecodecamp.org/learn/responsive-web-design-v9/" TargetMode="External"/><Relationship Id="rId134" Type="http://schemas.openxmlformats.org/officeDocument/2006/relationships/hyperlink" Target="http://jakemok.io/" TargetMode="External"/><Relationship Id="rId133" Type="http://schemas.openxmlformats.org/officeDocument/2006/relationships/hyperlink" Target="https://blogs.oracle.com/oracleuniversity/oci-certification-learning-paths-and-exams-2026-updates-now-available" TargetMode="External"/><Relationship Id="rId62" Type="http://schemas.openxmlformats.org/officeDocument/2006/relationships/hyperlink" Target="https://www.google.com/url?q=https://learn.saylor.org/course/cs107&amp;sa=D&amp;source=editors&amp;ust=1792394798392505&amp;usg=AOvVaw0MycfYTRyQiHBvNTCcbBGR" TargetMode="External"/><Relationship Id="rId61" Type="http://schemas.openxmlformats.org/officeDocument/2006/relationships/hyperlink" Target="https://www.google.com/url?q=https://cognitiveclass.ai/courses/introduction-to-cloud&amp;sa=D&amp;source=editors&amp;ust=1792394798392159&amp;usg=AOvVaw2T48lxaIapTPx0v6wJtFMz" TargetMode="External"/><Relationship Id="rId64" Type="http://schemas.openxmlformats.org/officeDocument/2006/relationships/hyperlink" Target="https://www.theforage.com/simulations/bank-of-america/investment-banking-bwp7" TargetMode="External"/><Relationship Id="rId63" Type="http://schemas.openxmlformats.org/officeDocument/2006/relationships/hyperlink" Target="https://www.theforage.com/simulations/jpmorgan/investment-banking-hkyd" TargetMode="External"/><Relationship Id="rId66" Type="http://schemas.openxmlformats.org/officeDocument/2006/relationships/hyperlink" Target="https://www.theforage.com/simulations/citi/investment-banking-9wcw" TargetMode="External"/><Relationship Id="rId172" Type="http://schemas.openxmlformats.org/officeDocument/2006/relationships/hyperlink" Target="https://education.oracle.com/oracle-cloud-infrastructure-2025-generative-ai-professional/pexam_1Z0-1127-25" TargetMode="External"/><Relationship Id="rId65" Type="http://schemas.openxmlformats.org/officeDocument/2006/relationships/hyperlink" Target="https://www.theforage.com/simulations/goldmansachs/controllers-8npc" TargetMode="External"/><Relationship Id="rId171" Type="http://schemas.openxmlformats.org/officeDocument/2006/relationships/hyperlink" Target="https://www.nvidia.com/en-us/learn/certification/generative-ai-llm-associate/" TargetMode="External"/><Relationship Id="rId68" Type="http://schemas.openxmlformats.org/officeDocument/2006/relationships/hyperlink" Target="https://www.theforage.com/simulations/bcg/strategy-consulting-jk76" TargetMode="External"/><Relationship Id="rId170" Type="http://schemas.openxmlformats.org/officeDocument/2006/relationships/hyperlink" Target="https://www.coursera.org/professional-certificates/ai-engineer" TargetMode="External"/><Relationship Id="rId67" Type="http://schemas.openxmlformats.org/officeDocument/2006/relationships/hyperlink" Target="https://www.theforage.com/simulations/h2-ventures/venture-capital-comi" TargetMode="External"/><Relationship Id="rId60" Type="http://schemas.openxmlformats.org/officeDocument/2006/relationships/hyperlink" Target="https://www.google.com/url?q=https://course.elementsofai.com/&amp;sa=D&amp;source=editors&amp;ust=1792394798391813&amp;usg=AOvVaw02pZOHkStBZfHBih9G9AUA" TargetMode="External"/><Relationship Id="rId165" Type="http://schemas.openxmlformats.org/officeDocument/2006/relationships/hyperlink" Target="https://academy.hubspot.com/courses/digital-marketing" TargetMode="External"/><Relationship Id="rId69" Type="http://schemas.openxmlformats.org/officeDocument/2006/relationships/hyperlink" Target="https://www.theforage.com/simulations/mastercard/advisors-client-services-xvlw" TargetMode="External"/><Relationship Id="rId164" Type="http://schemas.openxmlformats.org/officeDocument/2006/relationships/hyperlink" Target="https://examregistration.github.com/certification/GHF" TargetMode="External"/><Relationship Id="rId163" Type="http://schemas.openxmlformats.org/officeDocument/2006/relationships/hyperlink" Target="https://anthropic-partners.skilljar.com/claude-certified-architect-foundations-certification" TargetMode="External"/><Relationship Id="rId162" Type="http://schemas.openxmlformats.org/officeDocument/2006/relationships/hyperlink" Target="https://www.coursera.org/learn/google-ai-essentials" TargetMode="External"/><Relationship Id="rId169" Type="http://schemas.openxmlformats.org/officeDocument/2006/relationships/hyperlink" Target="https://aws.amazon.com/certification/certified-machine-learning-engineer-associate/" TargetMode="External"/><Relationship Id="rId168" Type="http://schemas.openxmlformats.org/officeDocument/2006/relationships/hyperlink" Target="https://cloud.google.com/learn/certification/generative-ai-leader" TargetMode="External"/><Relationship Id="rId167" Type="http://schemas.openxmlformats.org/officeDocument/2006/relationships/hyperlink" Target="https://anthropic.skilljar.com/ai-fluency-framework-foundations" TargetMode="External"/><Relationship Id="rId166" Type="http://schemas.openxmlformats.org/officeDocument/2006/relationships/hyperlink" Target="https://skillsbuild.org/college-students/course-catalog/ibm-skillsbuild-cybersecurity-certificate" TargetMode="External"/><Relationship Id="rId51" Type="http://schemas.openxmlformats.org/officeDocument/2006/relationships/hyperlink" Target="https://www.freecodecamp.org/learn/data-visualization/" TargetMode="External"/><Relationship Id="rId50" Type="http://schemas.openxmlformats.org/officeDocument/2006/relationships/hyperlink" Target="https://www.freecodecamp.org/learn/javascript-v9/" TargetMode="External"/><Relationship Id="rId53" Type="http://schemas.openxmlformats.org/officeDocument/2006/relationships/hyperlink" Target="https://www.coursera.org/specializations/excel" TargetMode="External"/><Relationship Id="rId52" Type="http://schemas.openxmlformats.org/officeDocument/2006/relationships/hyperlink" Target="https://www.coursera.org/specializations/python" TargetMode="External"/><Relationship Id="rId55" Type="http://schemas.openxmlformats.org/officeDocument/2006/relationships/hyperlink" Target="https://www.coursera.org/specializations/ui-ux-design?utm_medium=sem&amp;utm_source=gg&amp;utm_campaign=b2c_apac_x_multi_ftcof_x_cx_dr_bau_gg_sem_pr_s3_en_m_hyb_26-09_consolidated-s3-others&amp;campaignid=24314885422&amp;adgroupid=201707340858&amp;device=c&amp;keyword=ux%20design%20course&amp;matchtype=p&amp;network=g&amp;devicemodel=&amp;creativeid=826595554549&amp;assetgroupid=&amp;targetid=kwd-25742925511&amp;extensionid=&amp;placement=&amp;gad_source=1&amp;gad_campaignid=24314885422&amp;gclid=CjwKCAjwxeHWBhBPEiwAiqtQ-QfBMsg-8G9szPkBFfDmTxllslx6tAs9eEe9hjbYJ_-PgYocX6UoTBoClIEQAvD_BwE" TargetMode="External"/><Relationship Id="rId161" Type="http://schemas.openxmlformats.org/officeDocument/2006/relationships/hyperlink" Target="https://docs.cloudquest.skillbuilder.aws/coming-soon/index.html" TargetMode="External"/><Relationship Id="rId54" Type="http://schemas.openxmlformats.org/officeDocument/2006/relationships/hyperlink" Target="https://www.netacad.com/courses/introduction-to-cybersecurity" TargetMode="External"/><Relationship Id="rId160" Type="http://schemas.openxmlformats.org/officeDocument/2006/relationships/hyperlink" Target="https://pll.harvard.edu/course/cs50s-introduction-artificial-intelligence-python" TargetMode="External"/><Relationship Id="rId57" Type="http://schemas.openxmlformats.org/officeDocument/2006/relationships/hyperlink" Target="https://www.google.com/url?q=https://www.freecodecamp.org/learn/foundational-c-sharp-with-microsoft/&amp;sa=D&amp;source=editors&amp;ust=1792394798390777&amp;usg=AOvVaw2sodu_-KclBjPL487RCxHZ" TargetMode="External"/><Relationship Id="rId56" Type="http://schemas.openxmlformats.org/officeDocument/2006/relationships/hyperlink" Target="https://www.coursera.org/learn/financial-markets-global" TargetMode="External"/><Relationship Id="rId159" Type="http://schemas.openxmlformats.org/officeDocument/2006/relationships/hyperlink" Target="https://huggingface.co/smol-course" TargetMode="External"/><Relationship Id="rId59" Type="http://schemas.openxmlformats.org/officeDocument/2006/relationships/hyperlink" Target="https://www.google.com/url?q=https://www.hackerrank.com/skills-verification/sql_basic&amp;sa=D&amp;source=editors&amp;ust=1792394798391496&amp;usg=AOvVaw3tQ-IFmZb3bGA3obNSYNZa" TargetMode="External"/><Relationship Id="rId154" Type="http://schemas.openxmlformats.org/officeDocument/2006/relationships/hyperlink" Target="https://learn.oracle.com/ols/learning-path/become-an-oci-ai-foundations-associate/146553/163544" TargetMode="External"/><Relationship Id="rId58" Type="http://schemas.openxmlformats.org/officeDocument/2006/relationships/hyperlink" Target="https://www.google.com/url?q=https://www.kaggle.com/learn/intro-to-machine-learning&amp;sa=D&amp;source=editors&amp;ust=1792394798391140&amp;usg=AOvVaw1KrK0u-rcXsLIrZWcbCyG4" TargetMode="External"/><Relationship Id="rId153" Type="http://schemas.openxmlformats.org/officeDocument/2006/relationships/hyperlink" Target="https://cloud.google.com/learn/certification/generative-ai-leader" TargetMode="External"/><Relationship Id="rId152" Type="http://schemas.openxmlformats.org/officeDocument/2006/relationships/hyperlink" Target="https://academy.hubspot.com/courses/digital-marketing" TargetMode="External"/><Relationship Id="rId151" Type="http://schemas.openxmlformats.org/officeDocument/2006/relationships/hyperlink" Target="https://www.netacad.com/courses/data-analytics-essentials" TargetMode="External"/><Relationship Id="rId158" Type="http://schemas.openxmlformats.org/officeDocument/2006/relationships/hyperlink" Target="https://learn.oracle.com/ols/learning-path/become-an-oracle-agentic-ai-foundations-associate/146553/163239" TargetMode="External"/><Relationship Id="rId157" Type="http://schemas.openxmlformats.org/officeDocument/2006/relationships/hyperlink" Target="https://www.linkedin.com/learning/paths/career-essentials-in-generative-ai-by-microsoft-and-linkedin" TargetMode="External"/><Relationship Id="rId156" Type="http://schemas.openxmlformats.org/officeDocument/2006/relationships/hyperlink" Target="https://www.credly.com/org/ibm-skillsbuild/badge/artificial-intelligence-fundamentals" TargetMode="External"/><Relationship Id="rId155" Type="http://schemas.openxmlformats.org/officeDocument/2006/relationships/hyperlink" Target="https://www.credly.com/org/amazon-web-services/badge/aws-educate-introduction-to-generative-ai-training-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learn.microsoft.com/en-us/credentials/certifications/azure-ai-fundamentals/" TargetMode="External"/><Relationship Id="rId42" Type="http://schemas.openxmlformats.org/officeDocument/2006/relationships/hyperlink" Target="https://www.coursera.org/specializations/microsoft-azure-fundamentals-az900-exam-prep" TargetMode="External"/><Relationship Id="rId41" Type="http://schemas.openxmlformats.org/officeDocument/2006/relationships/hyperlink" Target="http://www.coursera.org/professional-certificates/microsoft-power-bi-data-analyst" TargetMode="External"/><Relationship Id="rId44" Type="http://schemas.openxmlformats.org/officeDocument/2006/relationships/hyperlink" Target="https://learn.microsoft.com/en-us/credentials/applied-skills/develop-an-agent-with-integrated-tools/" TargetMode="External"/><Relationship Id="rId43" Type="http://schemas.openxmlformats.org/officeDocument/2006/relationships/hyperlink" Target="https://www.google.com/url?q=https://www.freecodecamp.org/learn/foundational-c-sharp-with-microsoft/&amp;sa=D&amp;source=editors&amp;ust=1792394798390777&amp;usg=AOvVaw2sodu_-KclBjPL487RCxHZ" TargetMode="External"/><Relationship Id="rId46" Type="http://schemas.openxmlformats.org/officeDocument/2006/relationships/hyperlink" Target="https://skillbuilder.aws/learn/94T2BEN85A/aws-cloud-practitioner-essentials/8D79F3AVR7" TargetMode="External"/><Relationship Id="rId45" Type="http://schemas.openxmlformats.org/officeDocument/2006/relationships/hyperlink" Target="https://skillbuilder.aws/learn/VF6H4SZ1BU/foundations-of-prompt-engineering/7U8XFUVXDT" TargetMode="External"/><Relationship Id="rId107" Type="http://schemas.openxmlformats.org/officeDocument/2006/relationships/hyperlink" Target="https://www.theforage.com/simulations/bcg/strategy-consulting-jk76" TargetMode="External"/><Relationship Id="rId106" Type="http://schemas.openxmlformats.org/officeDocument/2006/relationships/hyperlink" Target="https://www.theforage.com/simulations/h2-ventures/venture-capital-comi" TargetMode="External"/><Relationship Id="rId105" Type="http://schemas.openxmlformats.org/officeDocument/2006/relationships/hyperlink" Target="https://www.theforage.com/simulations/citi/investment-banking-9wcw" TargetMode="External"/><Relationship Id="rId104" Type="http://schemas.openxmlformats.org/officeDocument/2006/relationships/hyperlink" Target="https://www.theforage.com/simulations/bank-of-america/investment-banking-bwp7" TargetMode="External"/><Relationship Id="rId109" Type="http://schemas.openxmlformats.org/officeDocument/2006/relationships/hyperlink" Target="https://www.theforage.com/simulations/bcg/digital-transformation-pk18" TargetMode="External"/><Relationship Id="rId108" Type="http://schemas.openxmlformats.org/officeDocument/2006/relationships/hyperlink" Target="https://www.theforage.com/simulations/mastercard/advisors-client-services-xvlw" TargetMode="External"/><Relationship Id="rId48" Type="http://schemas.openxmlformats.org/officeDocument/2006/relationships/hyperlink" Target="https://skillbuilder.aws/learn/ZEVZZ1D4AS/introduction-to-generative-ai--art-of-the-possible/Y7MTGJCW1U" TargetMode="External"/><Relationship Id="rId47" Type="http://schemas.openxmlformats.org/officeDocument/2006/relationships/hyperlink" Target="https://skillbuilder.aws/learn/FU5WCYVGKY/aws-cloud-quest-cloud-practitioner/JF9TKU68GT" TargetMode="External"/><Relationship Id="rId49" Type="http://schemas.openxmlformats.org/officeDocument/2006/relationships/hyperlink" Target="https://skillbuilder.aws/learn/SNE13WNABZ/exam-prep-aws-certified-machine-learning-engineer--associate-mlac01/2G8V6W44MJ" TargetMode="External"/><Relationship Id="rId103" Type="http://schemas.openxmlformats.org/officeDocument/2006/relationships/hyperlink" Target="https://www.theforage.com/simulations/jpmorgan/investment-banking-hkyd" TargetMode="External"/><Relationship Id="rId102" Type="http://schemas.openxmlformats.org/officeDocument/2006/relationships/hyperlink" Target="https://www.google.com/url?q=https://learn.saylor.org/course/cs107&amp;sa=D&amp;source=editors&amp;ust=1792394798392505&amp;usg=AOvVaw0MycfYTRyQiHBvNTCcbBGR" TargetMode="External"/><Relationship Id="rId101" Type="http://schemas.openxmlformats.org/officeDocument/2006/relationships/hyperlink" Target="https://www.paloaltonetworks.com/services/education/academy/learner" TargetMode="External"/><Relationship Id="rId100" Type="http://schemas.openxmlformats.org/officeDocument/2006/relationships/hyperlink" Target="https://www.freecodecamp.org/learn/scientific-computing-with-python/" TargetMode="External"/><Relationship Id="rId31" Type="http://schemas.openxmlformats.org/officeDocument/2006/relationships/hyperlink" Target="https://cloud.google.com/learn/certification/generative-ai-leader" TargetMode="External"/><Relationship Id="rId30" Type="http://schemas.openxmlformats.org/officeDocument/2006/relationships/hyperlink" Target="https://www.coursera.org/professional-certificates/google-cybersecurity?" TargetMode="External"/><Relationship Id="rId33" Type="http://schemas.openxmlformats.org/officeDocument/2006/relationships/hyperlink" Target="http://www.coursera.org/professional-certificates/google-digital-marketing-ecommerce" TargetMode="External"/><Relationship Id="rId32" Type="http://schemas.openxmlformats.org/officeDocument/2006/relationships/hyperlink" Target="https://www.coursera.org/professional-certificates/google-it-automation" TargetMode="External"/><Relationship Id="rId35" Type="http://schemas.openxmlformats.org/officeDocument/2006/relationships/hyperlink" Target="https://www.coursera.org/professional-certificates/google-data-analytics" TargetMode="External"/><Relationship Id="rId34" Type="http://schemas.openxmlformats.org/officeDocument/2006/relationships/hyperlink" Target="https://skillshop.docebosaas.com/learn/courses/18609/google-analytics-certification-2026" TargetMode="External"/><Relationship Id="rId37" Type="http://schemas.openxmlformats.org/officeDocument/2006/relationships/hyperlink" Target="https://cloud.google.com/learn/certificates" TargetMode="External"/><Relationship Id="rId36" Type="http://schemas.openxmlformats.org/officeDocument/2006/relationships/hyperlink" Target="https://www.coursera.org/professional-certificates/google-project-management" TargetMode="External"/><Relationship Id="rId39" Type="http://schemas.openxmlformats.org/officeDocument/2006/relationships/hyperlink" Target="https://www.edx.org/learn/python/edx-try-it-intro-to-python" TargetMode="External"/><Relationship Id="rId38" Type="http://schemas.openxmlformats.org/officeDocument/2006/relationships/hyperlink" Target="https://www.cloudskillsboost.google/course_templates/536" TargetMode="External"/><Relationship Id="rId20" Type="http://schemas.openxmlformats.org/officeDocument/2006/relationships/hyperlink" Target="https://skills.yourlearning.ibm.com/activity/PLAN-2EC3A305F2C3?ngo-id=0302" TargetMode="External"/><Relationship Id="rId22" Type="http://schemas.openxmlformats.org/officeDocument/2006/relationships/hyperlink" Target="https://www.coursera.org/professional-certificates/ai-engineer" TargetMode="External"/><Relationship Id="rId21" Type="http://schemas.openxmlformats.org/officeDocument/2006/relationships/hyperlink" Target="https://skills.yourlearning.ibm.com/activity/PLAN-7913EE1DB030?ngo-id=0302" TargetMode="External"/><Relationship Id="rId24" Type="http://schemas.openxmlformats.org/officeDocument/2006/relationships/hyperlink" Target="https://academy.hubspot.com/courses/content-marketing" TargetMode="External"/><Relationship Id="rId23" Type="http://schemas.openxmlformats.org/officeDocument/2006/relationships/hyperlink" Target="https://academy.hubspot.com/courses/digital-marketing" TargetMode="External"/><Relationship Id="rId129" Type="http://schemas.openxmlformats.org/officeDocument/2006/relationships/drawing" Target="../drawings/drawing3.xml"/><Relationship Id="rId128" Type="http://schemas.openxmlformats.org/officeDocument/2006/relationships/hyperlink" Target="https://www.coursera.org/learn/agile-project-management" TargetMode="External"/><Relationship Id="rId127" Type="http://schemas.openxmlformats.org/officeDocument/2006/relationships/hyperlink" Target="https://www.coursera.org/learn/introduction-to-generative-ai" TargetMode="External"/><Relationship Id="rId126" Type="http://schemas.openxmlformats.org/officeDocument/2006/relationships/hyperlink" Target="https://www.coursera.org/learn/financial-markets-global" TargetMode="External"/><Relationship Id="rId26" Type="http://schemas.openxmlformats.org/officeDocument/2006/relationships/hyperlink" Target="https://academy.hubspot.com/courses/email-marketing-certification-en" TargetMode="External"/><Relationship Id="rId121" Type="http://schemas.openxmlformats.org/officeDocument/2006/relationships/hyperlink" Target="https://www.theforage.com/simulations/tata/data-analytics-t3zr" TargetMode="External"/><Relationship Id="rId25" Type="http://schemas.openxmlformats.org/officeDocument/2006/relationships/hyperlink" Target="https://academy.hubspot.com/courses/social-media" TargetMode="External"/><Relationship Id="rId120" Type="http://schemas.openxmlformats.org/officeDocument/2006/relationships/hyperlink" Target="https://www.theforage.com/simulations/bcg/data-science-ccdz" TargetMode="External"/><Relationship Id="rId28" Type="http://schemas.openxmlformats.org/officeDocument/2006/relationships/hyperlink" Target="https://www.coursera.org/learn/google-ai-essentials" TargetMode="External"/><Relationship Id="rId27" Type="http://schemas.openxmlformats.org/officeDocument/2006/relationships/hyperlink" Target="https://academy.hubspot.com/courses/inbound" TargetMode="External"/><Relationship Id="rId125" Type="http://schemas.openxmlformats.org/officeDocument/2006/relationships/hyperlink" Target="https://www.coursera.org/specializations/ui-ux-design?utm_medium=sem&amp;utm_source=gg&amp;utm_campaign=b2c_apac_x_multi_ftcof_x_cx_dr_bau_gg_sem_pr_s3_en_m_hyb_26-09_consolidated-s3-others&amp;campaignid=24314885422&amp;adgroupid=201707340858&amp;device=c&amp;keyword=ux%20design%20course&amp;matchtype=p&amp;network=g&amp;devicemodel=&amp;creativeid=826595554549&amp;assetgroupid=&amp;targetid=kwd-25742925511&amp;extensionid=&amp;placement=&amp;gad_source=1&amp;gad_campaignid=24314885422&amp;gclid=CjwKCAjwxeHWBhBPEiwAiqtQ-QfBMsg-8G9szPkBFfDmTxllslx6tAs9eEe9hjbYJ_-PgYocX6UoTBoClIEQAvD_BwE" TargetMode="External"/><Relationship Id="rId29" Type="http://schemas.openxmlformats.org/officeDocument/2006/relationships/hyperlink" Target="https://www.coursera.org/professional-certificates/google-advanced-data-analytics" TargetMode="External"/><Relationship Id="rId124" Type="http://schemas.openxmlformats.org/officeDocument/2006/relationships/hyperlink" Target="https://www.coursera.org/specializations/excel" TargetMode="External"/><Relationship Id="rId123" Type="http://schemas.openxmlformats.org/officeDocument/2006/relationships/hyperlink" Target="https://www.coursera.org/specializations/python" TargetMode="External"/><Relationship Id="rId122" Type="http://schemas.openxmlformats.org/officeDocument/2006/relationships/hyperlink" Target="https://www.google.com/url?q=https://course.elementsofai.com/&amp;sa=D&amp;source=editors&amp;ust=1792394798391813&amp;usg=AOvVaw02pZOHkStBZfHBih9G9AUA" TargetMode="External"/><Relationship Id="rId95" Type="http://schemas.openxmlformats.org/officeDocument/2006/relationships/hyperlink" Target="https://trailhead.salesforce.com/" TargetMode="External"/><Relationship Id="rId94" Type="http://schemas.openxmlformats.org/officeDocument/2006/relationships/hyperlink" Target="https://training.fortinet.com/local/staticpage/view.php?page=nse_3" TargetMode="External"/><Relationship Id="rId97" Type="http://schemas.openxmlformats.org/officeDocument/2006/relationships/hyperlink" Target="https://www.freecodecamp.org/learn/responsive-web-design-v9/" TargetMode="External"/><Relationship Id="rId96" Type="http://schemas.openxmlformats.org/officeDocument/2006/relationships/hyperlink" Target="https://learn.snowflake.com/en/courses/OD-ESS-DWW/" TargetMode="External"/><Relationship Id="rId11" Type="http://schemas.openxmlformats.org/officeDocument/2006/relationships/hyperlink" Target="https://www.theforage.com/simulations/goldmansachs/controllers-8npc" TargetMode="External"/><Relationship Id="rId99" Type="http://schemas.openxmlformats.org/officeDocument/2006/relationships/hyperlink" Target="https://www.freecodecamp.org/learn/data-visualization/" TargetMode="External"/><Relationship Id="rId10" Type="http://schemas.openxmlformats.org/officeDocument/2006/relationships/hyperlink" Target="https://learn.microsoft.com/en-us/credentials/applied-skills/" TargetMode="External"/><Relationship Id="rId98" Type="http://schemas.openxmlformats.org/officeDocument/2006/relationships/hyperlink" Target="https://www.freecodecamp.org/learn/javascript-v9/" TargetMode="External"/><Relationship Id="rId13" Type="http://schemas.openxmlformats.org/officeDocument/2006/relationships/hyperlink" Target="https://www.theforage.com/simulations/ey/technology-risk-ydqh" TargetMode="External"/><Relationship Id="rId12" Type="http://schemas.openxmlformats.org/officeDocument/2006/relationships/hyperlink" Target="https://www.theforage.com/simulations/ey/audit-k5kl" TargetMode="External"/><Relationship Id="rId91" Type="http://schemas.openxmlformats.org/officeDocument/2006/relationships/hyperlink" Target="https://www.facebookblueprint.com/student/catalog" TargetMode="External"/><Relationship Id="rId90" Type="http://schemas.openxmlformats.org/officeDocument/2006/relationships/hyperlink" Target="https://www.facebook.com/business/learn/social-media-marketing-certificate-coursera" TargetMode="External"/><Relationship Id="rId93" Type="http://schemas.openxmlformats.org/officeDocument/2006/relationships/hyperlink" Target="https://training.fortinet.com/local/staticpage/view.php?page=nse_2" TargetMode="External"/><Relationship Id="rId92" Type="http://schemas.openxmlformats.org/officeDocument/2006/relationships/hyperlink" Target="https://training.fortinet.com/local/staticpage/view.php?page=nse_1" TargetMode="External"/><Relationship Id="rId118" Type="http://schemas.openxmlformats.org/officeDocument/2006/relationships/hyperlink" Target="https://www.theforage.com/simulations/skyscanner/front-end-software-engineering-cbwl" TargetMode="External"/><Relationship Id="rId117" Type="http://schemas.openxmlformats.org/officeDocument/2006/relationships/hyperlink" Target="https://www.theforage.com/simulations/jpmorgan/advanced-software-engineering-r0fm" TargetMode="External"/><Relationship Id="rId116" Type="http://schemas.openxmlformats.org/officeDocument/2006/relationships/hyperlink" Target="https://www.theforage.com/simulations/walmart/software-engineering-fceb" TargetMode="External"/><Relationship Id="rId115" Type="http://schemas.openxmlformats.org/officeDocument/2006/relationships/hyperlink" Target="https://www.theforage.com/simulations/hewlett-packard-enterprise/digital-sales-mmkg" TargetMode="External"/><Relationship Id="rId119" Type="http://schemas.openxmlformats.org/officeDocument/2006/relationships/hyperlink" Target="https://www.theforage.com/simulations/mastercard/cybersecurity-t8ye" TargetMode="External"/><Relationship Id="rId15" Type="http://schemas.openxmlformats.org/officeDocument/2006/relationships/hyperlink" Target="https://www.coursera.org/learn/data-analysis-with-python" TargetMode="External"/><Relationship Id="rId110" Type="http://schemas.openxmlformats.org/officeDocument/2006/relationships/hyperlink" Target="https://www.theforage.com/simulations/cbre/project-management-x2vz" TargetMode="External"/><Relationship Id="rId14" Type="http://schemas.openxmlformats.org/officeDocument/2006/relationships/hyperlink" Target="https://www.edx.org/learn/data-science/ibm-sql-for-data-science" TargetMode="External"/><Relationship Id="rId17" Type="http://schemas.openxmlformats.org/officeDocument/2006/relationships/hyperlink" Target="https://www.netacad.com/courses/ai-ibm-skillsbuild?courseLang=en-US" TargetMode="External"/><Relationship Id="rId16" Type="http://schemas.openxmlformats.org/officeDocument/2006/relationships/hyperlink" Target="https://www.coursera.org/professional-certificates/ibm-data-science?utm_medium=sem&amp;utm_source=gg&amp;utm_campaign=b2c_apac_ibm-data-science_ibm_ftcof_professional-certificates_cx_dr_bau_gg_sem_pr_s3_en_m_hyb_24-05_x&amp;campaignid=21260288546&amp;adgroupid=161508822226&amp;device=c&amp;keyword=ibm%20data%20science&amp;matchtype=p&amp;network=g&amp;devicemodel=&amp;creativeid=698924747646&amp;assetgroupid=&amp;targetid=kwd-312859523693&amp;extensionid=&amp;placement=&amp;gad_source=1&amp;gad_campaignid=21260288546&amp;gclid=CjwKCAjwxeHWBhBPEiwAiqtQ-RpUT_ZGlCDSp9K3kxSDmxfi1LmWlsN1s9aS9kZV5op1XyTz-gb3VxoCKZEQAvD_BwE" TargetMode="External"/><Relationship Id="rId19" Type="http://schemas.openxmlformats.org/officeDocument/2006/relationships/hyperlink" Target="https://skills.yourlearning.ibm.com/activity/PLAN-C7EE7CC95370?ngo-id=0302" TargetMode="External"/><Relationship Id="rId114" Type="http://schemas.openxmlformats.org/officeDocument/2006/relationships/hyperlink" Target="https://www.theforage.com/simulations/bloomberg/client-engagement-a6hi" TargetMode="External"/><Relationship Id="rId18" Type="http://schemas.openxmlformats.org/officeDocument/2006/relationships/hyperlink" Target="https://www.google.com/url?q=https://cognitiveclass.ai/courses/introduction-to-cloud&amp;sa=D&amp;source=editors&amp;ust=1792394798392159&amp;usg=AOvVaw2T48lxaIapTPx0v6wJtFMz" TargetMode="External"/><Relationship Id="rId113" Type="http://schemas.openxmlformats.org/officeDocument/2006/relationships/hyperlink" Target="https://www.theforage.com/simulations/forage/sponsored-content-omnichannel-marketing-5iep" TargetMode="External"/><Relationship Id="rId112" Type="http://schemas.openxmlformats.org/officeDocument/2006/relationships/hyperlink" Target="https://www.theforage.com/simulations/pearson/marketing-oxce" TargetMode="External"/><Relationship Id="rId111" Type="http://schemas.openxmlformats.org/officeDocument/2006/relationships/hyperlink" Target="https://www.theforage.com/simulations/red-bull/on-premise-sales-waza" TargetMode="External"/><Relationship Id="rId84" Type="http://schemas.openxmlformats.org/officeDocument/2006/relationships/hyperlink" Target="https://www.nvidia.com/en-us/learn/certification/generative-ai-llm-associate/" TargetMode="External"/><Relationship Id="rId83" Type="http://schemas.openxmlformats.org/officeDocument/2006/relationships/hyperlink" Target="https://www.databricks.com/resources/training/level-your-ai-agent-skills?itm_source=www&amp;itm_category=learn&amp;itm_page=certification&amp;itm_location=body&amp;itm_component=card&amp;itm_offer=level-your-ai-agent-skills" TargetMode="External"/><Relationship Id="rId86" Type="http://schemas.openxmlformats.org/officeDocument/2006/relationships/hyperlink" Target="https://examregistration.github.com/certification/GHF" TargetMode="External"/><Relationship Id="rId85" Type="http://schemas.openxmlformats.org/officeDocument/2006/relationships/hyperlink" Target="https://www.canva.com/design-school/courses/work-smarter-with-ai/" TargetMode="External"/><Relationship Id="rId88" Type="http://schemas.openxmlformats.org/officeDocument/2006/relationships/hyperlink" Target="https://www.google.com/url?q=https://www.hackerrank.com/skills-verification/sql_basic&amp;sa=D&amp;source=editors&amp;ust=1792394798391496&amp;usg=AOvVaw3tQ-IFmZb3bGA3obNSYNZa" TargetMode="External"/><Relationship Id="rId87" Type="http://schemas.openxmlformats.org/officeDocument/2006/relationships/hyperlink" Target="https://www.linkedin.com/learning/paths/career-essentials-in-generative-ai-by-microsoft-and-linkedin" TargetMode="External"/><Relationship Id="rId89" Type="http://schemas.openxmlformats.org/officeDocument/2006/relationships/hyperlink" Target="https://cognitiveclass.ai/courses/learn-sql-relational-databases" TargetMode="External"/><Relationship Id="rId80" Type="http://schemas.openxmlformats.org/officeDocument/2006/relationships/hyperlink" Target="https://www.databricks.com/training/catalog/generative-ai-fundamentals-1765" TargetMode="External"/><Relationship Id="rId82" Type="http://schemas.openxmlformats.org/officeDocument/2006/relationships/hyperlink" Target="https://www.databricks.com/learn/certification/lakehouse-platform-fundamentals?utm_source=chatgpt.com" TargetMode="External"/><Relationship Id="rId81" Type="http://schemas.openxmlformats.org/officeDocument/2006/relationships/hyperlink" Target="https://customer-academy.databricks.com/learn/courses/1811/generative-ai-fundamentals-accreditation?utm_source=chatgpt.com" TargetMode="External"/><Relationship Id="rId1" Type="http://schemas.openxmlformats.org/officeDocument/2006/relationships/hyperlink" Target="http://theforage.com/simulations/deloitte-au/data-analytics-s5zy" TargetMode="External"/><Relationship Id="rId2" Type="http://schemas.openxmlformats.org/officeDocument/2006/relationships/hyperlink" Target="https://www.google.com/url?q=https://www.kaggle.com/learn/intro-to-machine-learning&amp;sa=D&amp;source=editors&amp;ust=1792394798391140&amp;usg=AOvVaw1KrK0u-rcXsLIrZWcbCyG4" TargetMode="External"/><Relationship Id="rId3" Type="http://schemas.openxmlformats.org/officeDocument/2006/relationships/hyperlink" Target="https://www.kaggle.com/learn/intro-to-sql" TargetMode="External"/><Relationship Id="rId4" Type="http://schemas.openxmlformats.org/officeDocument/2006/relationships/hyperlink" Target="https://www.kaggle.com/learn/python" TargetMode="External"/><Relationship Id="rId9" Type="http://schemas.openxmlformats.org/officeDocument/2006/relationships/hyperlink" Target="https://academy.claude.com/courses/model-context-protocol-advanced-topics" TargetMode="External"/><Relationship Id="rId5" Type="http://schemas.openxmlformats.org/officeDocument/2006/relationships/hyperlink" Target="https://anthropic.skilljar.com/ai-fluency-framework-foundations" TargetMode="External"/><Relationship Id="rId6" Type="http://schemas.openxmlformats.org/officeDocument/2006/relationships/hyperlink" Target="https://anthropic-partners.skilljar.com/claude-certified-architect-foundations-certification" TargetMode="External"/><Relationship Id="rId7" Type="http://schemas.openxmlformats.org/officeDocument/2006/relationships/hyperlink" Target="https://academy.claude.com/courses/building-effective-human-agent-teams" TargetMode="External"/><Relationship Id="rId8" Type="http://schemas.openxmlformats.org/officeDocument/2006/relationships/hyperlink" Target="https://academy.claude.com/courses/claude-platform-101" TargetMode="External"/><Relationship Id="rId73" Type="http://schemas.openxmlformats.org/officeDocument/2006/relationships/hyperlink" Target="https://academy.openai.com/public/courses/ai-foundations-dnq5w" TargetMode="External"/><Relationship Id="rId72" Type="http://schemas.openxmlformats.org/officeDocument/2006/relationships/hyperlink" Target="https://education.oracle.com/oracle-cloud-infrastructure-2025-generative-ai-professional/pexam_1Z0-1127-25" TargetMode="External"/><Relationship Id="rId75" Type="http://schemas.openxmlformats.org/officeDocument/2006/relationships/hyperlink" Target="https://academy.openai.com/public/courses/agents-and-workflows-y0qoc" TargetMode="External"/><Relationship Id="rId74" Type="http://schemas.openxmlformats.org/officeDocument/2006/relationships/hyperlink" Target="https://academy.openai.com/public/courses/applied-ai-foundations-szsmv" TargetMode="External"/><Relationship Id="rId77" Type="http://schemas.openxmlformats.org/officeDocument/2006/relationships/hyperlink" Target="https://learn.mongodb.com/courses/ai-agents-with-mongodb" TargetMode="External"/><Relationship Id="rId76" Type="http://schemas.openxmlformats.org/officeDocument/2006/relationships/hyperlink" Target="https://academy.openai.com/public/courses/ai-leadership-kaf7k" TargetMode="External"/><Relationship Id="rId79" Type="http://schemas.openxmlformats.org/officeDocument/2006/relationships/hyperlink" Target="https://academy.langchain.com/courses/quickstart-agent-builder" TargetMode="External"/><Relationship Id="rId78" Type="http://schemas.openxmlformats.org/officeDocument/2006/relationships/hyperlink" Target="https://academy.langchain.com/courses/langchain-essentials-python" TargetMode="External"/><Relationship Id="rId71" Type="http://schemas.openxmlformats.org/officeDocument/2006/relationships/hyperlink" Target="https://learn.oracle.com/ols/learning-path/become-an-oracle-agentic-ai-foundations-associate/146553/163239" TargetMode="External"/><Relationship Id="rId70" Type="http://schemas.openxmlformats.org/officeDocument/2006/relationships/hyperlink" Target="https://learn.oracle.com/ols/learning-path/become-an-oci-architect-associate/97213/97424" TargetMode="External"/><Relationship Id="rId62" Type="http://schemas.openxmlformats.org/officeDocument/2006/relationships/hyperlink" Target="https://www.datacamp.com/certification/data-engineer" TargetMode="External"/><Relationship Id="rId61" Type="http://schemas.openxmlformats.org/officeDocument/2006/relationships/hyperlink" Target="https://www.netacad.com/courses/data-analytics-essentials" TargetMode="External"/><Relationship Id="rId64" Type="http://schemas.openxmlformats.org/officeDocument/2006/relationships/hyperlink" Target="https://huggingface.co/learn/agents-course" TargetMode="External"/><Relationship Id="rId63" Type="http://schemas.openxmlformats.org/officeDocument/2006/relationships/hyperlink" Target="https://huggingface.co/smol-course" TargetMode="External"/><Relationship Id="rId66" Type="http://schemas.openxmlformats.org/officeDocument/2006/relationships/hyperlink" Target="https://pll.harvard.edu/course/cs50s-introduction-artificial-intelligence-python" TargetMode="External"/><Relationship Id="rId65" Type="http://schemas.openxmlformats.org/officeDocument/2006/relationships/hyperlink" Target="https://cs50.harvard.edu/x/certificate/" TargetMode="External"/><Relationship Id="rId68" Type="http://schemas.openxmlformats.org/officeDocument/2006/relationships/hyperlink" Target="https://www.theforage.com/simulations/siemens-mobility/operations-industrial-engineering-xh22" TargetMode="External"/><Relationship Id="rId67" Type="http://schemas.openxmlformats.org/officeDocument/2006/relationships/hyperlink" Target="https://www.theforage.com/simulations/siemens-mobility/project-management-qydx" TargetMode="External"/><Relationship Id="rId60" Type="http://schemas.openxmlformats.org/officeDocument/2006/relationships/hyperlink" Target="https://go.netacad.com/Intro-to-Modern-AI_Registration.html?utm_source=chatgpt.com" TargetMode="External"/><Relationship Id="rId69" Type="http://schemas.openxmlformats.org/officeDocument/2006/relationships/hyperlink" Target="https://learn.oracle.com/ols/learning-path/become-an-oci-ai-foundations-associate/146553/163544" TargetMode="External"/><Relationship Id="rId51" Type="http://schemas.openxmlformats.org/officeDocument/2006/relationships/hyperlink" Target="https://www.theforage.com/simulations/kpmg-ca/tax-m4t0" TargetMode="External"/><Relationship Id="rId50" Type="http://schemas.openxmlformats.org/officeDocument/2006/relationships/hyperlink" Target="https://www.theforage.com/simulations/kpmg-ca/auditassurance-el6n" TargetMode="External"/><Relationship Id="rId53" Type="http://schemas.openxmlformats.org/officeDocument/2006/relationships/hyperlink" Target="https://www.theforage.com/simulations/pwc-us/tax-l9rj" TargetMode="External"/><Relationship Id="rId52" Type="http://schemas.openxmlformats.org/officeDocument/2006/relationships/hyperlink" Target="https://www.theforage.com/simulations/pwc-us/audit-w3fr" TargetMode="External"/><Relationship Id="rId55" Type="http://schemas.openxmlformats.org/officeDocument/2006/relationships/hyperlink" Target="https://www.theforage.com/simulations/pnc/professionalism-power-skills-dxef" TargetMode="External"/><Relationship Id="rId54" Type="http://schemas.openxmlformats.org/officeDocument/2006/relationships/hyperlink" Target="https://www.theforage.com/simulations/accaapac/sustainability-banking-4sca" TargetMode="External"/><Relationship Id="rId57" Type="http://schemas.openxmlformats.org/officeDocument/2006/relationships/hyperlink" Target="https://www.netacad.com/courses/introduction-to-cybersecurity" TargetMode="External"/><Relationship Id="rId56" Type="http://schemas.openxmlformats.org/officeDocument/2006/relationships/hyperlink" Target="https://www.netacad.com/courses/data-science-essentials-with-python?courseLang=en-US" TargetMode="External"/><Relationship Id="rId59" Type="http://schemas.openxmlformats.org/officeDocument/2006/relationships/hyperlink" Target="https://www.netacad.com/courses/networking-basics" TargetMode="External"/><Relationship Id="rId58" Type="http://schemas.openxmlformats.org/officeDocument/2006/relationships/hyperlink" Target="https://www.netacad.com/courses/introduction-iot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academy.hubspot.com/courses/email-marketing-certification-en" TargetMode="External"/><Relationship Id="rId42" Type="http://schemas.openxmlformats.org/officeDocument/2006/relationships/hyperlink" Target="https://learn.microsoft.com/en-us/credentials/certifications/azure-ai-fundamentals/" TargetMode="External"/><Relationship Id="rId41" Type="http://schemas.openxmlformats.org/officeDocument/2006/relationships/hyperlink" Target="https://www.facebook.com/business/learn/social-media-marketing-certificate-coursera" TargetMode="External"/><Relationship Id="rId44" Type="http://schemas.openxmlformats.org/officeDocument/2006/relationships/hyperlink" Target="https://www.coursera.org/specializations/microsoft-azure-fundamentals-az900-exam-prep" TargetMode="External"/><Relationship Id="rId43" Type="http://schemas.openxmlformats.org/officeDocument/2006/relationships/hyperlink" Target="http://www.coursera.org/professional-certificates/microsoft-power-bi-data-analyst" TargetMode="External"/><Relationship Id="rId46" Type="http://schemas.openxmlformats.org/officeDocument/2006/relationships/hyperlink" Target="https://www.coursera.org/professional-certificates/ibm-data-science?utm_medium=sem&amp;utm_source=gg&amp;utm_campaign=b2c_apac_ibm-data-science_ibm_ftcof_professional-certificates_cx_dr_bau_gg_sem_pr_s3_en_m_hyb_24-05_x&amp;campaignid=21260288546&amp;adgroupid=161508822226&amp;device=c&amp;keyword=ibm%20data%20science&amp;matchtype=p&amp;network=g&amp;devicemodel=&amp;creativeid=698924747646&amp;assetgroupid=&amp;targetid=kwd-312859523693&amp;extensionid=&amp;placement=&amp;gad_source=1&amp;gad_campaignid=21260288546&amp;gclid=CjwKCAjwxeHWBhBPEiwAiqtQ-RpUT_ZGlCDSp9K3kxSDmxfi1LmWlsN1s9aS9kZV5op1XyTz-gb3VxoCKZEQAvD_BwE" TargetMode="External"/><Relationship Id="rId45" Type="http://schemas.openxmlformats.org/officeDocument/2006/relationships/hyperlink" Target="https://www.linkedin.com/learning/paths/career-essentials-in-generative-ai-by-microsoft-and-linkedin" TargetMode="External"/><Relationship Id="rId107" Type="http://schemas.openxmlformats.org/officeDocument/2006/relationships/hyperlink" Target="http://jakemok.io/" TargetMode="External"/><Relationship Id="rId106" Type="http://schemas.openxmlformats.org/officeDocument/2006/relationships/hyperlink" Target="https://www.databricks.com/learn/certification/lakehouse-platform-fundamentals?utm_source=chatgpt.com" TargetMode="External"/><Relationship Id="rId105" Type="http://schemas.openxmlformats.org/officeDocument/2006/relationships/hyperlink" Target="http://jakemok.io/" TargetMode="External"/><Relationship Id="rId104" Type="http://schemas.openxmlformats.org/officeDocument/2006/relationships/hyperlink" Target="https://www.kaggle.com/learn/python" TargetMode="External"/><Relationship Id="rId109" Type="http://schemas.openxmlformats.org/officeDocument/2006/relationships/hyperlink" Target="http://jakemok.io/" TargetMode="External"/><Relationship Id="rId108" Type="http://schemas.openxmlformats.org/officeDocument/2006/relationships/hyperlink" Target="https://www.databricks.com/resources/training/level-your-ai-agent-skills?itm_source=www&amp;itm_category=learn&amp;itm_page=certification&amp;itm_location=body&amp;itm_component=card&amp;itm_offer=level-your-ai-agent-skills" TargetMode="External"/><Relationship Id="rId48" Type="http://schemas.openxmlformats.org/officeDocument/2006/relationships/hyperlink" Target="https://www.freecodecamp.org/learn/responsive-web-design-v9/" TargetMode="External"/><Relationship Id="rId47" Type="http://schemas.openxmlformats.org/officeDocument/2006/relationships/hyperlink" Target="https://www.netacad.com/courses/ai-ibm-skillsbuild?courseLang=en-US" TargetMode="External"/><Relationship Id="rId185" Type="http://schemas.openxmlformats.org/officeDocument/2006/relationships/drawing" Target="../drawings/drawing4.xml"/><Relationship Id="rId49" Type="http://schemas.openxmlformats.org/officeDocument/2006/relationships/hyperlink" Target="https://www.freecodecamp.org/learn/javascript-v9/" TargetMode="External"/><Relationship Id="rId184" Type="http://schemas.openxmlformats.org/officeDocument/2006/relationships/hyperlink" Target="https://academy.openai.com/public/courses/ai-leadership-kaf7k" TargetMode="External"/><Relationship Id="rId103" Type="http://schemas.openxmlformats.org/officeDocument/2006/relationships/hyperlink" Target="http://jakemok.io/" TargetMode="External"/><Relationship Id="rId102" Type="http://schemas.openxmlformats.org/officeDocument/2006/relationships/hyperlink" Target="https://www.kaggle.com/learn/intro-to-machine-learning" TargetMode="External"/><Relationship Id="rId101" Type="http://schemas.openxmlformats.org/officeDocument/2006/relationships/hyperlink" Target="http://jakemok.io/" TargetMode="External"/><Relationship Id="rId100" Type="http://schemas.openxmlformats.org/officeDocument/2006/relationships/hyperlink" Target="https://www.kaggle.com/learn/intro-to-sql" TargetMode="External"/><Relationship Id="rId31" Type="http://schemas.openxmlformats.org/officeDocument/2006/relationships/hyperlink" Target="https://aws.amazon.com/certification/certified-cloud-practitioner/" TargetMode="External"/><Relationship Id="rId30" Type="http://schemas.openxmlformats.org/officeDocument/2006/relationships/hyperlink" Target="https://learn.oracle.com/ols/learning-path/become-an-oci-ai-foundations-associate/146553/163544" TargetMode="External"/><Relationship Id="rId33" Type="http://schemas.openxmlformats.org/officeDocument/2006/relationships/hyperlink" Target="https://www.coursera.org/learn/google-ai-essentials" TargetMode="External"/><Relationship Id="rId183" Type="http://schemas.openxmlformats.org/officeDocument/2006/relationships/hyperlink" Target="https://academy.openai.com/public/courses/agents-and-workflows-y0qoc" TargetMode="External"/><Relationship Id="rId32" Type="http://schemas.openxmlformats.org/officeDocument/2006/relationships/hyperlink" Target="http://www.coursera.org/professional-certificates/google-digital-marketing-ecommerce" TargetMode="External"/><Relationship Id="rId182" Type="http://schemas.openxmlformats.org/officeDocument/2006/relationships/hyperlink" Target="https://academy.openai.com/public/courses/applied-ai-foundations-szsmv" TargetMode="External"/><Relationship Id="rId35" Type="http://schemas.openxmlformats.org/officeDocument/2006/relationships/hyperlink" Target="https://www.coursera.org/professional-certificates/google-data-analytics" TargetMode="External"/><Relationship Id="rId181" Type="http://schemas.openxmlformats.org/officeDocument/2006/relationships/hyperlink" Target="https://academy.openai.com/public/courses/ai-foundations-dnq5w" TargetMode="External"/><Relationship Id="rId34" Type="http://schemas.openxmlformats.org/officeDocument/2006/relationships/hyperlink" Target="https://skillshop.docebosaas.com/learn/courses/18609/google-analytics-certification-2026" TargetMode="External"/><Relationship Id="rId180" Type="http://schemas.openxmlformats.org/officeDocument/2006/relationships/hyperlink" Target="https://learn.mongodb.com/courses/ai-agents-with-mongodb" TargetMode="External"/><Relationship Id="rId37" Type="http://schemas.openxmlformats.org/officeDocument/2006/relationships/hyperlink" Target="https://academy.hubspot.com/courses/content-marketing" TargetMode="External"/><Relationship Id="rId176" Type="http://schemas.openxmlformats.org/officeDocument/2006/relationships/hyperlink" Target="https://academy.claude.com/courses/claude-platform-101" TargetMode="External"/><Relationship Id="rId36" Type="http://schemas.openxmlformats.org/officeDocument/2006/relationships/hyperlink" Target="https://www.coursera.org/professional-certificates/google-project-management" TargetMode="External"/><Relationship Id="rId175" Type="http://schemas.openxmlformats.org/officeDocument/2006/relationships/hyperlink" Target="https://academy.langchain.com/courses/langchain-essentials-python" TargetMode="External"/><Relationship Id="rId39" Type="http://schemas.openxmlformats.org/officeDocument/2006/relationships/hyperlink" Target="https://academy.hubspot.com/courses/social-media" TargetMode="External"/><Relationship Id="rId174" Type="http://schemas.openxmlformats.org/officeDocument/2006/relationships/hyperlink" Target="https://academy.claude.com/courses/building-effective-human-agent-teams" TargetMode="External"/><Relationship Id="rId38" Type="http://schemas.openxmlformats.org/officeDocument/2006/relationships/hyperlink" Target="https://academy.hubspot.com/courses/digital-marketing" TargetMode="External"/><Relationship Id="rId173" Type="http://schemas.openxmlformats.org/officeDocument/2006/relationships/hyperlink" Target="https://huggingface.co/learn/agents-course" TargetMode="External"/><Relationship Id="rId179" Type="http://schemas.openxmlformats.org/officeDocument/2006/relationships/hyperlink" Target="https://learn.microsoft.com/en-us/credentials/applied-skills/develop-an-agent-with-integrated-tools/" TargetMode="External"/><Relationship Id="rId178" Type="http://schemas.openxmlformats.org/officeDocument/2006/relationships/hyperlink" Target="https://academy.langchain.com/courses/quickstart-agent-builder" TargetMode="External"/><Relationship Id="rId177" Type="http://schemas.openxmlformats.org/officeDocument/2006/relationships/hyperlink" Target="https://academy.claude.com/courses/model-context-protocol-advanced-topics" TargetMode="External"/><Relationship Id="rId20" Type="http://schemas.openxmlformats.org/officeDocument/2006/relationships/hyperlink" Target="https://www.edx.org/learn/python/edx-try-it-intro-to-python" TargetMode="External"/><Relationship Id="rId22" Type="http://schemas.openxmlformats.org/officeDocument/2006/relationships/hyperlink" Target="https://www.coursera.org/learn/data-analysis-with-python" TargetMode="External"/><Relationship Id="rId21" Type="http://schemas.openxmlformats.org/officeDocument/2006/relationships/hyperlink" Target="https://www.edx.org/learn/data-science/ibm-sql-for-data-science" TargetMode="External"/><Relationship Id="rId24" Type="http://schemas.openxmlformats.org/officeDocument/2006/relationships/hyperlink" Target="https://www.datacamp.com/certification/data-engineer" TargetMode="External"/><Relationship Id="rId23" Type="http://schemas.openxmlformats.org/officeDocument/2006/relationships/hyperlink" Target="https://www.netacad.com/courses/data-science-essentials-with-python?courseLang=en-US" TargetMode="External"/><Relationship Id="rId129" Type="http://schemas.openxmlformats.org/officeDocument/2006/relationships/hyperlink" Target="http://jakemok.io/" TargetMode="External"/><Relationship Id="rId128" Type="http://schemas.openxmlformats.org/officeDocument/2006/relationships/hyperlink" Target="https://training.fortinet.com/local/staticpage/view.php?page=nse_3" TargetMode="External"/><Relationship Id="rId127" Type="http://schemas.openxmlformats.org/officeDocument/2006/relationships/hyperlink" Target="http://jakemok.io/" TargetMode="External"/><Relationship Id="rId126" Type="http://schemas.openxmlformats.org/officeDocument/2006/relationships/hyperlink" Target="https://training.fortinet.com/local/staticpage/view.php?page=nse_2" TargetMode="External"/><Relationship Id="rId26" Type="http://schemas.openxmlformats.org/officeDocument/2006/relationships/hyperlink" Target="https://www.theforage.com/simulations/siemens-mobility/operations-industrial-engineering-xh22" TargetMode="External"/><Relationship Id="rId121" Type="http://schemas.openxmlformats.org/officeDocument/2006/relationships/hyperlink" Target="http://jakemok.io/" TargetMode="External"/><Relationship Id="rId25" Type="http://schemas.openxmlformats.org/officeDocument/2006/relationships/hyperlink" Target="http://theforage.com/simulations/deloitte-au/data-analytics-s5zy" TargetMode="External"/><Relationship Id="rId120" Type="http://schemas.openxmlformats.org/officeDocument/2006/relationships/hyperlink" Target="https://academy.hubspot.com/courses/digital-marketing" TargetMode="External"/><Relationship Id="rId28" Type="http://schemas.openxmlformats.org/officeDocument/2006/relationships/hyperlink" Target="https://anthropic-partners.skilljar.com/claude-certified-architect-foundations-certification" TargetMode="External"/><Relationship Id="rId27" Type="http://schemas.openxmlformats.org/officeDocument/2006/relationships/hyperlink" Target="https://cs50.harvard.edu/x/certificate/" TargetMode="External"/><Relationship Id="rId125" Type="http://schemas.openxmlformats.org/officeDocument/2006/relationships/hyperlink" Target="http://jakemok.io/" TargetMode="External"/><Relationship Id="rId29" Type="http://schemas.openxmlformats.org/officeDocument/2006/relationships/hyperlink" Target="https://www.coursera.org/learn/google-ai-essentials" TargetMode="External"/><Relationship Id="rId124" Type="http://schemas.openxmlformats.org/officeDocument/2006/relationships/hyperlink" Target="https://training.fortinet.com/local/staticpage/view.php?page=nse_1" TargetMode="External"/><Relationship Id="rId123" Type="http://schemas.openxmlformats.org/officeDocument/2006/relationships/hyperlink" Target="http://jakemok.io/" TargetMode="External"/><Relationship Id="rId122" Type="http://schemas.openxmlformats.org/officeDocument/2006/relationships/hyperlink" Target="https://trailhead.salesforce.com/" TargetMode="External"/><Relationship Id="rId95" Type="http://schemas.openxmlformats.org/officeDocument/2006/relationships/hyperlink" Target="http://jakemok.io/" TargetMode="External"/><Relationship Id="rId94" Type="http://schemas.openxmlformats.org/officeDocument/2006/relationships/hyperlink" Target="https://cs50.harvard.edu/x/certificate/" TargetMode="External"/><Relationship Id="rId97" Type="http://schemas.openxmlformats.org/officeDocument/2006/relationships/hyperlink" Target="http://jakemok.io/" TargetMode="External"/><Relationship Id="rId96" Type="http://schemas.openxmlformats.org/officeDocument/2006/relationships/hyperlink" Target="https://academy.hubspot.com/courses/inbound" TargetMode="External"/><Relationship Id="rId11" Type="http://schemas.openxmlformats.org/officeDocument/2006/relationships/hyperlink" Target="https://www.theforage.com/simulations/ey/audit-k5kl" TargetMode="External"/><Relationship Id="rId99" Type="http://schemas.openxmlformats.org/officeDocument/2006/relationships/hyperlink" Target="http://jakemok.io/" TargetMode="External"/><Relationship Id="rId10" Type="http://schemas.openxmlformats.org/officeDocument/2006/relationships/hyperlink" Target="https://www.theforage.com/simulations/pwc-us/audit-w3fr" TargetMode="External"/><Relationship Id="rId98" Type="http://schemas.openxmlformats.org/officeDocument/2006/relationships/hyperlink" Target="https://skillbuilder.aws/learn/FU5WCYVGKY/aws-cloud-quest-cloud-practitioner/JF9TKU68GT" TargetMode="External"/><Relationship Id="rId13" Type="http://schemas.openxmlformats.org/officeDocument/2006/relationships/hyperlink" Target="http://theforage.com/simulations/deloitte-au/data-analytics-s5zy" TargetMode="External"/><Relationship Id="rId12" Type="http://schemas.openxmlformats.org/officeDocument/2006/relationships/hyperlink" Target="https://www.theforage.com/simulations/ey/technology-risk-ydqh" TargetMode="External"/><Relationship Id="rId91" Type="http://schemas.openxmlformats.org/officeDocument/2006/relationships/hyperlink" Target="http://jakemok.io/" TargetMode="External"/><Relationship Id="rId90" Type="http://schemas.openxmlformats.org/officeDocument/2006/relationships/hyperlink" Target="https://skills.yourlearning.ibm.com/activity/PLAN-C7EE7CC95370?ngo-id=0302" TargetMode="External"/><Relationship Id="rId93" Type="http://schemas.openxmlformats.org/officeDocument/2006/relationships/hyperlink" Target="http://jakemok.io/" TargetMode="External"/><Relationship Id="rId92" Type="http://schemas.openxmlformats.org/officeDocument/2006/relationships/hyperlink" Target="https://learn.microsoft.com/en-us/credentials/applied-skills/" TargetMode="External"/><Relationship Id="rId118" Type="http://schemas.openxmlformats.org/officeDocument/2006/relationships/hyperlink" Target="https://www.netacad.com/courses/networking-basics" TargetMode="External"/><Relationship Id="rId117" Type="http://schemas.openxmlformats.org/officeDocument/2006/relationships/hyperlink" Target="http://jakemok.io/" TargetMode="External"/><Relationship Id="rId116" Type="http://schemas.openxmlformats.org/officeDocument/2006/relationships/hyperlink" Target="https://www.netacad.com/courses/introduction-iot" TargetMode="External"/><Relationship Id="rId115" Type="http://schemas.openxmlformats.org/officeDocument/2006/relationships/hyperlink" Target="http://jakemok.io/" TargetMode="External"/><Relationship Id="rId119" Type="http://schemas.openxmlformats.org/officeDocument/2006/relationships/hyperlink" Target="http://jakemok.io/" TargetMode="External"/><Relationship Id="rId15" Type="http://schemas.openxmlformats.org/officeDocument/2006/relationships/hyperlink" Target="https://www.theforage.com/simulations/pwc-us/tax-l9rj" TargetMode="External"/><Relationship Id="rId110" Type="http://schemas.openxmlformats.org/officeDocument/2006/relationships/hyperlink" Target="https://skills.yourlearning.ibm.com/activity/PLAN-2EC3A305F2C3?ngo-id=0302" TargetMode="External"/><Relationship Id="rId14" Type="http://schemas.openxmlformats.org/officeDocument/2006/relationships/hyperlink" Target="https://www.theforage.com/simulations/kpmg-ca/tax-m4t0" TargetMode="External"/><Relationship Id="rId17" Type="http://schemas.openxmlformats.org/officeDocument/2006/relationships/hyperlink" Target="https://www.theforage.com/simulations/goldmansachs/controllers-8npc" TargetMode="External"/><Relationship Id="rId16" Type="http://schemas.openxmlformats.org/officeDocument/2006/relationships/hyperlink" Target="https://www.theforage.com/simulations/accaapac/sustainability-banking-4sca" TargetMode="External"/><Relationship Id="rId19" Type="http://schemas.openxmlformats.org/officeDocument/2006/relationships/hyperlink" Target="https://skillbuilder.aws/learn/VF6H4SZ1BU/foundations-of-prompt-engineering/7U8XFUVXDT" TargetMode="External"/><Relationship Id="rId114" Type="http://schemas.openxmlformats.org/officeDocument/2006/relationships/hyperlink" Target="https://skillbuilder.aws/learn/94T2BEN85A/aws-cloud-practitioner-essentials/8D79F3AVR7" TargetMode="External"/><Relationship Id="rId18" Type="http://schemas.openxmlformats.org/officeDocument/2006/relationships/hyperlink" Target="https://www.theforage.com/simulations/pnc/professionalism-power-skills-dxef" TargetMode="External"/><Relationship Id="rId113" Type="http://schemas.openxmlformats.org/officeDocument/2006/relationships/hyperlink" Target="http://jakemok.io/" TargetMode="External"/><Relationship Id="rId112" Type="http://schemas.openxmlformats.org/officeDocument/2006/relationships/hyperlink" Target="https://cloud.google.com/learn/certificates" TargetMode="External"/><Relationship Id="rId111" Type="http://schemas.openxmlformats.org/officeDocument/2006/relationships/hyperlink" Target="http://jakemok.io/" TargetMode="External"/><Relationship Id="rId84" Type="http://schemas.openxmlformats.org/officeDocument/2006/relationships/hyperlink" Target="https://learn.oracle.com/ols/learning-path/become-an-oci-ai-foundations-associate/146553/163544" TargetMode="External"/><Relationship Id="rId83" Type="http://schemas.openxmlformats.org/officeDocument/2006/relationships/hyperlink" Target="http://jakemok.io/" TargetMode="External"/><Relationship Id="rId86" Type="http://schemas.openxmlformats.org/officeDocument/2006/relationships/hyperlink" Target="https://examregistration.github.com/certification/GHF" TargetMode="External"/><Relationship Id="rId85" Type="http://schemas.openxmlformats.org/officeDocument/2006/relationships/hyperlink" Target="http://jakemok.io/" TargetMode="External"/><Relationship Id="rId88" Type="http://schemas.openxmlformats.org/officeDocument/2006/relationships/hyperlink" Target="https://www.netacad.com/courses/introduction-to-cybersecurity" TargetMode="External"/><Relationship Id="rId150" Type="http://schemas.openxmlformats.org/officeDocument/2006/relationships/hyperlink" Target="https://www.netacad.com/courses/data-analytics-essentials" TargetMode="External"/><Relationship Id="rId87" Type="http://schemas.openxmlformats.org/officeDocument/2006/relationships/hyperlink" Target="http://jakemok.io/" TargetMode="External"/><Relationship Id="rId89" Type="http://schemas.openxmlformats.org/officeDocument/2006/relationships/hyperlink" Target="http://jakemok.io/" TargetMode="External"/><Relationship Id="rId80" Type="http://schemas.openxmlformats.org/officeDocument/2006/relationships/hyperlink" Target="https://www.theforage.com/simulations/mastercard/cybersecurity-t8ye" TargetMode="External"/><Relationship Id="rId82" Type="http://schemas.openxmlformats.org/officeDocument/2006/relationships/hyperlink" Target="https://www.theforage.com/simulations/tata/data-analytics-t3zr" TargetMode="External"/><Relationship Id="rId81" Type="http://schemas.openxmlformats.org/officeDocument/2006/relationships/hyperlink" Target="https://www.theforage.com/simulations/bcg/data-science-ccdz" TargetMode="External"/><Relationship Id="rId1" Type="http://schemas.openxmlformats.org/officeDocument/2006/relationships/hyperlink" Target="http://theforage.com/simulations/deloitte-au/data-analytics-s5zy" TargetMode="External"/><Relationship Id="rId2" Type="http://schemas.openxmlformats.org/officeDocument/2006/relationships/hyperlink" Target="https://www.coursera.org/professional-certificates/google-advanced-data-analytics" TargetMode="External"/><Relationship Id="rId3" Type="http://schemas.openxmlformats.org/officeDocument/2006/relationships/hyperlink" Target="https://www.coursera.org/professional-certificates/google-cybersecurity?" TargetMode="External"/><Relationship Id="rId149" Type="http://schemas.openxmlformats.org/officeDocument/2006/relationships/hyperlink" Target="https://cognitiveclass.ai/courses/learn-sql-relational-databases" TargetMode="External"/><Relationship Id="rId4" Type="http://schemas.openxmlformats.org/officeDocument/2006/relationships/hyperlink" Target="https://cloud.google.com/learn/certification/generative-ai-leader" TargetMode="External"/><Relationship Id="rId148" Type="http://schemas.openxmlformats.org/officeDocument/2006/relationships/hyperlink" Target="http://theforage.com/simulations/deloitte-au/data-analytics-s5zy" TargetMode="External"/><Relationship Id="rId9" Type="http://schemas.openxmlformats.org/officeDocument/2006/relationships/hyperlink" Target="https://www.theforage.com/simulations/kpmg-ca/auditassurance-el6n" TargetMode="External"/><Relationship Id="rId143" Type="http://schemas.openxmlformats.org/officeDocument/2006/relationships/hyperlink" Target="https://pll.harvard.edu/course/cs50s-introduction-artificial-intelligence-python" TargetMode="External"/><Relationship Id="rId142" Type="http://schemas.openxmlformats.org/officeDocument/2006/relationships/hyperlink" Target="https://go.netacad.com/Intro-to-Modern-AI_Registration.html?utm_source=chatgpt.com" TargetMode="External"/><Relationship Id="rId141" Type="http://schemas.openxmlformats.org/officeDocument/2006/relationships/hyperlink" Target="https://customer-academy.databricks.com/learn/courses/1811/generative-ai-fundamentals-accreditation?utm_source=chatgpt.com" TargetMode="External"/><Relationship Id="rId140" Type="http://schemas.openxmlformats.org/officeDocument/2006/relationships/hyperlink" Target="https://academy.openai.com/public/courses/ai-foundations-dnq5w" TargetMode="External"/><Relationship Id="rId5" Type="http://schemas.openxmlformats.org/officeDocument/2006/relationships/hyperlink" Target="https://www.coursera.org/professional-certificates/google-it-automation" TargetMode="External"/><Relationship Id="rId147" Type="http://schemas.openxmlformats.org/officeDocument/2006/relationships/hyperlink" Target="https://www.facebookblueprint.com/student/catalog" TargetMode="External"/><Relationship Id="rId6" Type="http://schemas.openxmlformats.org/officeDocument/2006/relationships/hyperlink" Target="https://www.coursera.org/learn/introduction-to-generative-ai" TargetMode="External"/><Relationship Id="rId146" Type="http://schemas.openxmlformats.org/officeDocument/2006/relationships/hyperlink" Target="https://learn.microsoft.com/en-us/credentials/applied-skills/" TargetMode="External"/><Relationship Id="rId7" Type="http://schemas.openxmlformats.org/officeDocument/2006/relationships/hyperlink" Target="https://www.coursera.org/learn/agile-project-management" TargetMode="External"/><Relationship Id="rId145" Type="http://schemas.openxmlformats.org/officeDocument/2006/relationships/hyperlink" Target="https://anthropic.skilljar.com/ai-fluency-framework-foundations" TargetMode="External"/><Relationship Id="rId8" Type="http://schemas.openxmlformats.org/officeDocument/2006/relationships/hyperlink" Target="https://www.coursera.org/learn/google-ai-essentials" TargetMode="External"/><Relationship Id="rId144" Type="http://schemas.openxmlformats.org/officeDocument/2006/relationships/hyperlink" Target="https://www.cloudskillsboost.google/course_templates/536" TargetMode="External"/><Relationship Id="rId73" Type="http://schemas.openxmlformats.org/officeDocument/2006/relationships/hyperlink" Target="https://www.theforage.com/simulations/pearson/marketing-oxce" TargetMode="External"/><Relationship Id="rId72" Type="http://schemas.openxmlformats.org/officeDocument/2006/relationships/hyperlink" Target="https://www.theforage.com/simulations/red-bull/on-premise-sales-waza" TargetMode="External"/><Relationship Id="rId75" Type="http://schemas.openxmlformats.org/officeDocument/2006/relationships/hyperlink" Target="https://www.theforage.com/simulations/bloomberg/client-engagement-a6hi" TargetMode="External"/><Relationship Id="rId74" Type="http://schemas.openxmlformats.org/officeDocument/2006/relationships/hyperlink" Target="https://www.theforage.com/simulations/forage/sponsored-content-omnichannel-marketing-5iep" TargetMode="External"/><Relationship Id="rId77" Type="http://schemas.openxmlformats.org/officeDocument/2006/relationships/hyperlink" Target="https://www.theforage.com/simulations/walmart/software-engineering-fceb" TargetMode="External"/><Relationship Id="rId76" Type="http://schemas.openxmlformats.org/officeDocument/2006/relationships/hyperlink" Target="https://www.theforage.com/simulations/hewlett-packard-enterprise/digital-sales-mmkg" TargetMode="External"/><Relationship Id="rId79" Type="http://schemas.openxmlformats.org/officeDocument/2006/relationships/hyperlink" Target="https://www.theforage.com/simulations/skyscanner/front-end-software-engineering-cbwl" TargetMode="External"/><Relationship Id="rId78" Type="http://schemas.openxmlformats.org/officeDocument/2006/relationships/hyperlink" Target="https://www.theforage.com/simulations/jpmorgan/advanced-software-engineering-r0fm" TargetMode="External"/><Relationship Id="rId71" Type="http://schemas.openxmlformats.org/officeDocument/2006/relationships/hyperlink" Target="https://www.theforage.com/simulations/siemens-mobility/project-management-qydx" TargetMode="External"/><Relationship Id="rId70" Type="http://schemas.openxmlformats.org/officeDocument/2006/relationships/hyperlink" Target="https://www.theforage.com/simulations/cbre/project-management-x2vz" TargetMode="External"/><Relationship Id="rId139" Type="http://schemas.openxmlformats.org/officeDocument/2006/relationships/hyperlink" Target="https://www.canva.com/design-school/courses/work-smarter-with-ai/" TargetMode="External"/><Relationship Id="rId138" Type="http://schemas.openxmlformats.org/officeDocument/2006/relationships/hyperlink" Target="https://www.paloaltonetworks.com/services/education/academy/learner" TargetMode="External"/><Relationship Id="rId137" Type="http://schemas.openxmlformats.org/officeDocument/2006/relationships/hyperlink" Target="http://jakemok.io/" TargetMode="External"/><Relationship Id="rId132" Type="http://schemas.openxmlformats.org/officeDocument/2006/relationships/hyperlink" Target="https://learn.oracle.com/ols/learning-path/become-an-oci-architect-associate/97213/97424" TargetMode="External"/><Relationship Id="rId131" Type="http://schemas.openxmlformats.org/officeDocument/2006/relationships/hyperlink" Target="http://jakemok.io/" TargetMode="External"/><Relationship Id="rId130" Type="http://schemas.openxmlformats.org/officeDocument/2006/relationships/hyperlink" Target="https://learn.snowflake.com/en/courses/OD-ESS-DWW/" TargetMode="External"/><Relationship Id="rId136" Type="http://schemas.openxmlformats.org/officeDocument/2006/relationships/hyperlink" Target="https://www.freecodecamp.org/learn/scientific-computing-with-python/" TargetMode="External"/><Relationship Id="rId135" Type="http://schemas.openxmlformats.org/officeDocument/2006/relationships/hyperlink" Target="http://jakemok.io/" TargetMode="External"/><Relationship Id="rId134" Type="http://schemas.openxmlformats.org/officeDocument/2006/relationships/hyperlink" Target="https://www.freecodecamp.org/learn/responsive-web-design-v9/" TargetMode="External"/><Relationship Id="rId133" Type="http://schemas.openxmlformats.org/officeDocument/2006/relationships/hyperlink" Target="http://jakemok.io/" TargetMode="External"/><Relationship Id="rId62" Type="http://schemas.openxmlformats.org/officeDocument/2006/relationships/hyperlink" Target="https://www.theforage.com/simulations/jpmorgan/investment-banking-hkyd" TargetMode="External"/><Relationship Id="rId61" Type="http://schemas.openxmlformats.org/officeDocument/2006/relationships/hyperlink" Target="https://www.google.com/url?q=https://learn.saylor.org/course/cs107&amp;sa=D&amp;source=editors&amp;ust=1792394798392505&amp;usg=AOvVaw0MycfYTRyQiHBvNTCcbBGR" TargetMode="External"/><Relationship Id="rId64" Type="http://schemas.openxmlformats.org/officeDocument/2006/relationships/hyperlink" Target="https://www.theforage.com/simulations/goldmansachs/controllers-8npc" TargetMode="External"/><Relationship Id="rId63" Type="http://schemas.openxmlformats.org/officeDocument/2006/relationships/hyperlink" Target="https://www.theforage.com/simulations/bank-of-america/investment-banking-bwp7" TargetMode="External"/><Relationship Id="rId66" Type="http://schemas.openxmlformats.org/officeDocument/2006/relationships/hyperlink" Target="https://www.theforage.com/simulations/h2-ventures/venture-capital-comi" TargetMode="External"/><Relationship Id="rId172" Type="http://schemas.openxmlformats.org/officeDocument/2006/relationships/hyperlink" Target="https://www.databricks.com/training/catalog/generative-ai-fundamentals-1765" TargetMode="External"/><Relationship Id="rId65" Type="http://schemas.openxmlformats.org/officeDocument/2006/relationships/hyperlink" Target="https://www.theforage.com/simulations/citi/investment-banking-9wcw" TargetMode="External"/><Relationship Id="rId171" Type="http://schemas.openxmlformats.org/officeDocument/2006/relationships/hyperlink" Target="https://education.oracle.com/oracle-cloud-infrastructure-2025-generative-ai-professional/pexam_1Z0-1127-25" TargetMode="External"/><Relationship Id="rId68" Type="http://schemas.openxmlformats.org/officeDocument/2006/relationships/hyperlink" Target="https://www.theforage.com/simulations/mastercard/advisors-client-services-xvlw" TargetMode="External"/><Relationship Id="rId170" Type="http://schemas.openxmlformats.org/officeDocument/2006/relationships/hyperlink" Target="https://www.nvidia.com/en-us/learn/certification/generative-ai-llm-associate/" TargetMode="External"/><Relationship Id="rId67" Type="http://schemas.openxmlformats.org/officeDocument/2006/relationships/hyperlink" Target="https://www.theforage.com/simulations/bcg/strategy-consulting-jk76" TargetMode="External"/><Relationship Id="rId60" Type="http://schemas.openxmlformats.org/officeDocument/2006/relationships/hyperlink" Target="https://www.google.com/url?q=https://cognitiveclass.ai/courses/introduction-to-cloud&amp;sa=D&amp;source=editors&amp;ust=1792394798392159&amp;usg=AOvVaw2T48lxaIapTPx0v6wJtFMz" TargetMode="External"/><Relationship Id="rId165" Type="http://schemas.openxmlformats.org/officeDocument/2006/relationships/hyperlink" Target="https://skills.yourlearning.ibm.com/activity/PLAN-C7EE7CC95370?ngo-id=0302" TargetMode="External"/><Relationship Id="rId69" Type="http://schemas.openxmlformats.org/officeDocument/2006/relationships/hyperlink" Target="https://www.theforage.com/simulations/bcg/digital-transformation-pk18" TargetMode="External"/><Relationship Id="rId164" Type="http://schemas.openxmlformats.org/officeDocument/2006/relationships/hyperlink" Target="https://academy.hubspot.com/courses/digital-marketing" TargetMode="External"/><Relationship Id="rId163" Type="http://schemas.openxmlformats.org/officeDocument/2006/relationships/hyperlink" Target="https://examregistration.github.com/certification/GHF" TargetMode="External"/><Relationship Id="rId162" Type="http://schemas.openxmlformats.org/officeDocument/2006/relationships/hyperlink" Target="https://anthropic-partners.skilljar.com/claude-certified-architect-foundations-certification" TargetMode="External"/><Relationship Id="rId169" Type="http://schemas.openxmlformats.org/officeDocument/2006/relationships/hyperlink" Target="https://www.coursera.org/professional-certificates/ai-engineer" TargetMode="External"/><Relationship Id="rId168" Type="http://schemas.openxmlformats.org/officeDocument/2006/relationships/hyperlink" Target="https://skillbuilder.aws/learn/SNE13WNABZ/exam-prep-aws-certified-machine-learning-engineer--associate-mlac01/2G8V6W44MJ" TargetMode="External"/><Relationship Id="rId167" Type="http://schemas.openxmlformats.org/officeDocument/2006/relationships/hyperlink" Target="https://cloud.google.com/learn/certification/generative-ai-leader" TargetMode="External"/><Relationship Id="rId166" Type="http://schemas.openxmlformats.org/officeDocument/2006/relationships/hyperlink" Target="https://anthropic.skilljar.com/ai-fluency-framework-foundations" TargetMode="External"/><Relationship Id="rId51" Type="http://schemas.openxmlformats.org/officeDocument/2006/relationships/hyperlink" Target="https://www.coursera.org/specializations/python" TargetMode="External"/><Relationship Id="rId50" Type="http://schemas.openxmlformats.org/officeDocument/2006/relationships/hyperlink" Target="https://www.freecodecamp.org/learn/data-visualization/" TargetMode="External"/><Relationship Id="rId53" Type="http://schemas.openxmlformats.org/officeDocument/2006/relationships/hyperlink" Target="https://www.netacad.com/courses/introduction-to-cybersecurity" TargetMode="External"/><Relationship Id="rId52" Type="http://schemas.openxmlformats.org/officeDocument/2006/relationships/hyperlink" Target="https://www.coursera.org/specializations/excel" TargetMode="External"/><Relationship Id="rId55" Type="http://schemas.openxmlformats.org/officeDocument/2006/relationships/hyperlink" Target="https://www.coursera.org/learn/financial-markets-global" TargetMode="External"/><Relationship Id="rId161" Type="http://schemas.openxmlformats.org/officeDocument/2006/relationships/hyperlink" Target="https://www.coursera.org/learn/google-ai-essentials" TargetMode="External"/><Relationship Id="rId54" Type="http://schemas.openxmlformats.org/officeDocument/2006/relationships/hyperlink" Target="https://www.coursera.org/specializations/ui-ux-design?utm_medium=sem&amp;utm_source=gg&amp;utm_campaign=b2c_apac_x_multi_ftcof_x_cx_dr_bau_gg_sem_pr_s3_en_m_hyb_26-09_consolidated-s3-others&amp;campaignid=24314885422&amp;adgroupid=201707340858&amp;device=c&amp;keyword=ux%20design%20course&amp;matchtype=p&amp;network=g&amp;devicemodel=&amp;creativeid=826595554549&amp;assetgroupid=&amp;targetid=kwd-25742925511&amp;extensionid=&amp;placement=&amp;gad_source=1&amp;gad_campaignid=24314885422&amp;gclid=CjwKCAjwxeHWBhBPEiwAiqtQ-QfBMsg-8G9szPkBFfDmTxllslx6tAs9eEe9hjbYJ_-PgYocX6UoTBoClIEQAvD_BwE" TargetMode="External"/><Relationship Id="rId160" Type="http://schemas.openxmlformats.org/officeDocument/2006/relationships/hyperlink" Target="https://skillbuilder.aws/learn/FU5WCYVGKY/aws-cloud-quest-cloud-practitioner/JF9TKU68GT" TargetMode="External"/><Relationship Id="rId57" Type="http://schemas.openxmlformats.org/officeDocument/2006/relationships/hyperlink" Target="https://www.google.com/url?q=https://www.kaggle.com/learn/intro-to-machine-learning&amp;sa=D&amp;source=editors&amp;ust=1792394798391140&amp;usg=AOvVaw1KrK0u-rcXsLIrZWcbCyG4" TargetMode="External"/><Relationship Id="rId56" Type="http://schemas.openxmlformats.org/officeDocument/2006/relationships/hyperlink" Target="https://www.google.com/url?q=https://www.freecodecamp.org/learn/foundational-c-sharp-with-microsoft/&amp;sa=D&amp;source=editors&amp;ust=1792394798390777&amp;usg=AOvVaw2sodu_-KclBjPL487RCxHZ" TargetMode="External"/><Relationship Id="rId159" Type="http://schemas.openxmlformats.org/officeDocument/2006/relationships/hyperlink" Target="https://pll.harvard.edu/course/cs50s-introduction-artificial-intelligence-python" TargetMode="External"/><Relationship Id="rId59" Type="http://schemas.openxmlformats.org/officeDocument/2006/relationships/hyperlink" Target="https://www.google.com/url?q=https://course.elementsofai.com/&amp;sa=D&amp;source=editors&amp;ust=1792394798391813&amp;usg=AOvVaw02pZOHkStBZfHBih9G9AUA" TargetMode="External"/><Relationship Id="rId154" Type="http://schemas.openxmlformats.org/officeDocument/2006/relationships/hyperlink" Target="https://skillbuilder.aws/learn/ZEVZZ1D4AS/introduction-to-generative-ai--art-of-the-possible/Y7MTGJCW1U" TargetMode="External"/><Relationship Id="rId58" Type="http://schemas.openxmlformats.org/officeDocument/2006/relationships/hyperlink" Target="https://www.google.com/url?q=https://www.hackerrank.com/skills-verification/sql_basic&amp;sa=D&amp;source=editors&amp;ust=1792394798391496&amp;usg=AOvVaw3tQ-IFmZb3bGA3obNSYNZa" TargetMode="External"/><Relationship Id="rId153" Type="http://schemas.openxmlformats.org/officeDocument/2006/relationships/hyperlink" Target="https://learn.oracle.com/ols/learning-path/become-an-oci-ai-foundations-associate/146553/163544" TargetMode="External"/><Relationship Id="rId152" Type="http://schemas.openxmlformats.org/officeDocument/2006/relationships/hyperlink" Target="https://cloud.google.com/learn/certification/generative-ai-leader" TargetMode="External"/><Relationship Id="rId151" Type="http://schemas.openxmlformats.org/officeDocument/2006/relationships/hyperlink" Target="https://academy.hubspot.com/courses/digital-marketing" TargetMode="External"/><Relationship Id="rId158" Type="http://schemas.openxmlformats.org/officeDocument/2006/relationships/hyperlink" Target="https://huggingface.co/smol-course" TargetMode="External"/><Relationship Id="rId157" Type="http://schemas.openxmlformats.org/officeDocument/2006/relationships/hyperlink" Target="https://learn.oracle.com/ols/learning-path/become-an-oracle-agentic-ai-foundations-associate/146553/163239" TargetMode="External"/><Relationship Id="rId156" Type="http://schemas.openxmlformats.org/officeDocument/2006/relationships/hyperlink" Target="https://www.linkedin.com/learning/paths/career-essentials-in-generative-ai-by-microsoft-and-linkedin" TargetMode="External"/><Relationship Id="rId155" Type="http://schemas.openxmlformats.org/officeDocument/2006/relationships/hyperlink" Target="https://skills.yourlearning.ibm.com/activity/PLAN-7913EE1DB030?ngo-id=03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6</v>
      </c>
      <c r="D1" s="1" t="s">
        <v>8</v>
      </c>
      <c r="E1" s="1" t="s">
        <v>11</v>
      </c>
      <c r="F1" s="1" t="s">
        <v>14</v>
      </c>
    </row>
    <row r="2">
      <c r="A2" s="1" t="s">
        <v>27</v>
      </c>
      <c r="B2" s="1" t="s">
        <v>26</v>
      </c>
      <c r="C2" s="1" t="str">
        <f>IF(COUNTIF(Master!D:D,A2)&gt;0,"Yes","No")</f>
        <v>Yes</v>
      </c>
      <c r="D2" s="1" t="s">
        <v>32</v>
      </c>
      <c r="E2" s="1" t="s">
        <v>32</v>
      </c>
      <c r="F2" s="4" t="s">
        <v>33</v>
      </c>
    </row>
    <row r="3">
      <c r="A3" s="1" t="s">
        <v>34</v>
      </c>
      <c r="B3" s="1" t="s">
        <v>26</v>
      </c>
      <c r="C3" s="1" t="str">
        <f>IF(COUNTIF(Master!D:D,A3)&gt;0,"Yes","No")</f>
        <v>Yes</v>
      </c>
      <c r="D3" s="1" t="s">
        <v>32</v>
      </c>
      <c r="E3" s="1" t="s">
        <v>32</v>
      </c>
      <c r="F3" s="2" t="s">
        <v>38</v>
      </c>
    </row>
    <row r="4">
      <c r="A4" s="1" t="s">
        <v>40</v>
      </c>
      <c r="B4" s="1" t="s">
        <v>26</v>
      </c>
      <c r="C4" s="1" t="str">
        <f>IF(COUNTIF(Master!D:D,A4)&gt;0,"Yes","No")</f>
        <v>Yes</v>
      </c>
      <c r="D4" s="1" t="s">
        <v>32</v>
      </c>
      <c r="E4" s="1" t="s">
        <v>26</v>
      </c>
      <c r="F4" s="4" t="s">
        <v>44</v>
      </c>
    </row>
    <row r="5">
      <c r="A5" s="1" t="s">
        <v>47</v>
      </c>
      <c r="B5" s="1" t="s">
        <v>48</v>
      </c>
      <c r="C5" s="1" t="str">
        <f>IF(COUNTIF(Master!D:D,A5)&gt;0,"Yes","No")</f>
        <v>Yes</v>
      </c>
      <c r="D5" s="1" t="s">
        <v>32</v>
      </c>
      <c r="E5" s="1" t="s">
        <v>26</v>
      </c>
      <c r="F5" s="4" t="s">
        <v>51</v>
      </c>
    </row>
    <row r="6">
      <c r="A6" s="1" t="s">
        <v>54</v>
      </c>
      <c r="B6" s="1" t="s">
        <v>32</v>
      </c>
      <c r="C6" s="1" t="str">
        <f>IF(COUNTIF(Master!D:D,A6)&gt;0,"Yes","No")</f>
        <v>No</v>
      </c>
      <c r="D6" s="1" t="s">
        <v>32</v>
      </c>
      <c r="E6" s="1" t="s">
        <v>32</v>
      </c>
      <c r="F6" s="2" t="s">
        <v>61</v>
      </c>
    </row>
    <row r="7">
      <c r="A7" s="1" t="s">
        <v>64</v>
      </c>
      <c r="B7" s="1" t="s">
        <v>26</v>
      </c>
      <c r="C7" s="1" t="str">
        <f>IF(COUNTIF(Master!D:D,A7)&gt;0,"Yes","No")</f>
        <v>Yes</v>
      </c>
      <c r="D7" s="1" t="s">
        <v>32</v>
      </c>
      <c r="E7" s="1" t="s">
        <v>26</v>
      </c>
      <c r="F7" s="2" t="s">
        <v>65</v>
      </c>
    </row>
    <row r="8">
      <c r="A8" s="1" t="s">
        <v>70</v>
      </c>
      <c r="B8" s="1" t="s">
        <v>26</v>
      </c>
      <c r="C8" s="1" t="str">
        <f>IF(COUNTIF(Master!D:D,A8)&gt;0,"Yes","No")</f>
        <v>Yes</v>
      </c>
      <c r="D8" s="1" t="s">
        <v>32</v>
      </c>
      <c r="E8" s="1" t="s">
        <v>32</v>
      </c>
      <c r="F8" s="4" t="s">
        <v>71</v>
      </c>
    </row>
    <row r="9">
      <c r="A9" s="1" t="s">
        <v>74</v>
      </c>
      <c r="B9" s="1" t="s">
        <v>26</v>
      </c>
      <c r="C9" s="1" t="str">
        <f>IF(COUNTIF(Master!D:D,A9)&gt;0,"Yes","No")</f>
        <v>Yes</v>
      </c>
      <c r="D9" s="1" t="s">
        <v>32</v>
      </c>
      <c r="E9" s="1" t="s">
        <v>26</v>
      </c>
      <c r="F9" s="4" t="s">
        <v>77</v>
      </c>
    </row>
    <row r="10">
      <c r="A10" s="1" t="s">
        <v>78</v>
      </c>
      <c r="B10" s="1" t="s">
        <v>26</v>
      </c>
      <c r="C10" s="1" t="str">
        <f>IF(COUNTIF(Master!D:D,A10)&gt;0,"Yes","No")</f>
        <v>Yes</v>
      </c>
      <c r="D10" s="1" t="s">
        <v>32</v>
      </c>
      <c r="E10" s="1" t="s">
        <v>26</v>
      </c>
      <c r="F10" s="4" t="s">
        <v>81</v>
      </c>
    </row>
    <row r="11">
      <c r="A11" s="1" t="s">
        <v>84</v>
      </c>
      <c r="B11" s="1" t="s">
        <v>26</v>
      </c>
      <c r="C11" s="1" t="str">
        <f>IF(COUNTIF(Master!D:D,A11)&gt;0,"Yes","No")</f>
        <v>No</v>
      </c>
      <c r="D11" s="1" t="s">
        <v>32</v>
      </c>
      <c r="E11" s="1" t="s">
        <v>32</v>
      </c>
      <c r="F11" s="2" t="s">
        <v>88</v>
      </c>
    </row>
    <row r="12">
      <c r="A12" s="4" t="s">
        <v>92</v>
      </c>
      <c r="B12" s="1" t="s">
        <v>26</v>
      </c>
      <c r="C12" s="1" t="str">
        <f>IF(COUNTIF(Master!D:D,A12)&gt;0,"Yes","No")</f>
        <v>Yes</v>
      </c>
      <c r="D12" s="1" t="s">
        <v>26</v>
      </c>
      <c r="E12" s="1" t="s">
        <v>26</v>
      </c>
      <c r="F12" s="2" t="s">
        <v>102</v>
      </c>
    </row>
    <row r="13">
      <c r="A13" s="1" t="s">
        <v>104</v>
      </c>
      <c r="B13" s="1" t="s">
        <v>26</v>
      </c>
      <c r="C13" s="1" t="str">
        <f>IF(COUNTIF(Master!D:D,A13)&gt;0,"Yes","No")</f>
        <v>No</v>
      </c>
      <c r="D13" s="1" t="s">
        <v>32</v>
      </c>
      <c r="E13" s="1" t="s">
        <v>32</v>
      </c>
    </row>
    <row r="14">
      <c r="A14" s="1" t="s">
        <v>107</v>
      </c>
      <c r="B14" s="1" t="s">
        <v>108</v>
      </c>
      <c r="C14" s="1" t="str">
        <f>IF(COUNTIF(Master!D:D,A14)&gt;0,"Yes","No")</f>
        <v>No</v>
      </c>
      <c r="D14" s="1" t="s">
        <v>26</v>
      </c>
      <c r="E14" s="1" t="s">
        <v>26</v>
      </c>
      <c r="F14" s="2" t="s">
        <v>110</v>
      </c>
    </row>
    <row r="15">
      <c r="A15" s="1" t="s">
        <v>116</v>
      </c>
      <c r="B15" s="1" t="s">
        <v>26</v>
      </c>
      <c r="C15" s="1" t="str">
        <f>IF(COUNTIF(Master!D:D,A15)&gt;0,"Yes","No")</f>
        <v>Yes</v>
      </c>
      <c r="D15" s="1" t="s">
        <v>26</v>
      </c>
      <c r="E15" s="1" t="s">
        <v>26</v>
      </c>
      <c r="F15" s="2" t="s">
        <v>121</v>
      </c>
    </row>
    <row r="16">
      <c r="A16" s="1" t="s">
        <v>124</v>
      </c>
      <c r="B16" s="1" t="s">
        <v>26</v>
      </c>
      <c r="C16" s="1" t="str">
        <f>IF(COUNTIF(Master!D:D,A16)&gt;0,"Yes","No")</f>
        <v>Yes</v>
      </c>
      <c r="D16" s="1" t="s">
        <v>26</v>
      </c>
      <c r="E16" s="1" t="s">
        <v>26</v>
      </c>
      <c r="F16" s="2" t="s">
        <v>125</v>
      </c>
    </row>
    <row r="17">
      <c r="A17" s="1" t="s">
        <v>128</v>
      </c>
      <c r="B17" s="1" t="s">
        <v>26</v>
      </c>
      <c r="C17" s="1" t="str">
        <f>IF(COUNTIF(Master!D:D,A17)&gt;0,"Yes","No")</f>
        <v>Yes</v>
      </c>
      <c r="D17" s="1" t="s">
        <v>32</v>
      </c>
      <c r="E17" s="1" t="s">
        <v>26</v>
      </c>
      <c r="F17" s="2" t="s">
        <v>129</v>
      </c>
    </row>
    <row r="18">
      <c r="A18" s="1" t="s">
        <v>130</v>
      </c>
      <c r="B18" s="1" t="s">
        <v>26</v>
      </c>
      <c r="C18" s="1" t="str">
        <f>IF(COUNTIF(Master!D:D,A18)&gt;0,"Yes","No")</f>
        <v>Yes</v>
      </c>
      <c r="D18" s="1" t="s">
        <v>32</v>
      </c>
      <c r="E18" s="1" t="s">
        <v>32</v>
      </c>
      <c r="F18" s="2" t="s">
        <v>133</v>
      </c>
    </row>
    <row r="19">
      <c r="A19" s="1" t="s">
        <v>141</v>
      </c>
      <c r="B19" s="1" t="s">
        <v>141</v>
      </c>
      <c r="C19" s="1" t="str">
        <f>IF(COUNTIF(Master!D:D,A19)&gt;0,"Yes","No")</f>
        <v>Yes</v>
      </c>
      <c r="D19" s="1" t="s">
        <v>26</v>
      </c>
      <c r="E19" s="1" t="s">
        <v>26</v>
      </c>
      <c r="F19" s="2" t="s">
        <v>144</v>
      </c>
    </row>
    <row r="20">
      <c r="A20" s="1" t="s">
        <v>149</v>
      </c>
      <c r="B20" s="1" t="s">
        <v>149</v>
      </c>
      <c r="C20" s="1" t="str">
        <f>IF(COUNTIF(Master!D:D,A20)&gt;0,"Yes","No")</f>
        <v>No</v>
      </c>
      <c r="D20" s="1" t="s">
        <v>26</v>
      </c>
      <c r="E20" s="1" t="s">
        <v>26</v>
      </c>
      <c r="F20" s="2" t="s">
        <v>150</v>
      </c>
    </row>
    <row r="21">
      <c r="A21" s="1" t="s">
        <v>153</v>
      </c>
      <c r="B21" s="1" t="s">
        <v>153</v>
      </c>
      <c r="C21" s="1" t="str">
        <f>IF(COUNTIF(Master!D:D,A21)&gt;0,"Yes","No")</f>
        <v>Yes</v>
      </c>
      <c r="D21" s="1" t="s">
        <v>26</v>
      </c>
      <c r="E21" s="1" t="s">
        <v>26</v>
      </c>
      <c r="F21" s="2" t="s">
        <v>154</v>
      </c>
    </row>
    <row r="22">
      <c r="A22" s="1" t="s">
        <v>159</v>
      </c>
      <c r="B22" s="1" t="s">
        <v>159</v>
      </c>
      <c r="C22" s="1" t="str">
        <f>IF(COUNTIF(Master!D:D,A22)&gt;0,"Yes","No")</f>
        <v>No</v>
      </c>
      <c r="D22" s="1" t="s">
        <v>32</v>
      </c>
      <c r="E22" s="1" t="s">
        <v>32</v>
      </c>
      <c r="F22" s="2" t="s">
        <v>160</v>
      </c>
    </row>
    <row r="23">
      <c r="A23" s="5"/>
      <c r="C23" s="1" t="str">
        <f>IF(COUNTIF(Master!D:D,A23)&gt;0,"Yes","No")</f>
        <v>No</v>
      </c>
      <c r="D23" s="1" t="s">
        <v>32</v>
      </c>
      <c r="E23" s="1" t="s">
        <v>32</v>
      </c>
    </row>
    <row r="24">
      <c r="A24" s="5"/>
      <c r="C24" s="1" t="str">
        <f>IF(COUNTIF(Master!D:D,A24)&gt;0,"Yes","No")</f>
        <v>No</v>
      </c>
      <c r="D24" s="1" t="s">
        <v>32</v>
      </c>
      <c r="E24" s="1" t="s">
        <v>32</v>
      </c>
    </row>
    <row r="25">
      <c r="A25" s="5"/>
      <c r="D25" s="5"/>
    </row>
    <row r="26">
      <c r="A26" s="5"/>
      <c r="D26" s="5"/>
    </row>
    <row r="27">
      <c r="A27" s="5"/>
      <c r="D27" s="5"/>
    </row>
    <row r="28">
      <c r="A28" s="5"/>
      <c r="D28" s="5"/>
    </row>
    <row r="29">
      <c r="A29" s="5"/>
      <c r="D29" s="5"/>
    </row>
    <row r="30">
      <c r="A30" s="5"/>
      <c r="D30" s="5"/>
    </row>
    <row r="31">
      <c r="A31" s="5"/>
      <c r="D31" s="5"/>
    </row>
    <row r="32">
      <c r="A32" s="5"/>
      <c r="D32" s="5"/>
    </row>
    <row r="33">
      <c r="A33" s="5"/>
      <c r="D33" s="5"/>
    </row>
    <row r="34">
      <c r="A34" s="5"/>
      <c r="D34" s="5"/>
    </row>
    <row r="35">
      <c r="A35" s="5"/>
      <c r="D35" s="5"/>
    </row>
    <row r="36">
      <c r="A36" s="5"/>
      <c r="D36" s="5"/>
    </row>
    <row r="37">
      <c r="A37" s="5"/>
      <c r="D37" s="5"/>
    </row>
    <row r="38">
      <c r="A38" s="5"/>
      <c r="D38" s="5"/>
    </row>
    <row r="39">
      <c r="A39" s="5"/>
      <c r="D39" s="5"/>
    </row>
    <row r="40">
      <c r="A40" s="5"/>
      <c r="D40" s="5"/>
    </row>
    <row r="41">
      <c r="A41" s="5"/>
      <c r="D41" s="5"/>
    </row>
    <row r="42">
      <c r="A42" s="5"/>
      <c r="D42" s="5"/>
    </row>
    <row r="43">
      <c r="A43" s="5"/>
      <c r="D43" s="5"/>
    </row>
    <row r="44">
      <c r="A44" s="5"/>
      <c r="D44" s="5"/>
    </row>
    <row r="45">
      <c r="A45" s="5"/>
      <c r="D45" s="5"/>
    </row>
    <row r="46">
      <c r="A46" s="5"/>
      <c r="D46" s="5"/>
    </row>
    <row r="47">
      <c r="A47" s="5"/>
      <c r="D47" s="5"/>
    </row>
    <row r="48">
      <c r="A48" s="5"/>
      <c r="D48" s="5"/>
    </row>
    <row r="49">
      <c r="A49" s="5"/>
      <c r="D49" s="5"/>
    </row>
    <row r="50">
      <c r="A50" s="5"/>
      <c r="D50" s="5"/>
    </row>
    <row r="51">
      <c r="A51" s="5"/>
      <c r="D51" s="5"/>
    </row>
    <row r="52">
      <c r="A52" s="5"/>
      <c r="D52" s="5"/>
    </row>
    <row r="53">
      <c r="A53" s="5"/>
      <c r="D53" s="5"/>
    </row>
    <row r="54">
      <c r="A54" s="5"/>
      <c r="D54" s="5"/>
    </row>
    <row r="55">
      <c r="A55" s="5"/>
      <c r="D55" s="5"/>
    </row>
    <row r="56">
      <c r="A56" s="5"/>
      <c r="D56" s="5"/>
    </row>
    <row r="57">
      <c r="A57" s="5"/>
      <c r="D57" s="5"/>
    </row>
    <row r="58">
      <c r="A58" s="5"/>
      <c r="D58" s="5"/>
    </row>
    <row r="59">
      <c r="A59" s="5"/>
      <c r="D59" s="5"/>
    </row>
    <row r="60">
      <c r="A60" s="5"/>
      <c r="D60" s="5"/>
    </row>
    <row r="61">
      <c r="A61" s="5"/>
      <c r="D61" s="5"/>
    </row>
    <row r="62">
      <c r="A62" s="5"/>
      <c r="D62" s="5"/>
    </row>
    <row r="63">
      <c r="A63" s="5"/>
      <c r="D63" s="5"/>
    </row>
    <row r="64">
      <c r="A64" s="5"/>
      <c r="D64" s="5"/>
    </row>
    <row r="65">
      <c r="A65" s="5"/>
      <c r="D65" s="5"/>
    </row>
    <row r="66">
      <c r="A66" s="5"/>
      <c r="D66" s="5"/>
    </row>
    <row r="67">
      <c r="A67" s="5"/>
      <c r="D67" s="5"/>
    </row>
    <row r="68">
      <c r="A68" s="5"/>
      <c r="D68" s="5"/>
    </row>
    <row r="69">
      <c r="A69" s="5"/>
      <c r="D69" s="5"/>
    </row>
    <row r="70">
      <c r="A70" s="5"/>
      <c r="D70" s="5"/>
    </row>
    <row r="71">
      <c r="A71" s="5"/>
      <c r="D71" s="5"/>
    </row>
    <row r="72">
      <c r="A72" s="5"/>
      <c r="D72" s="5"/>
    </row>
    <row r="73">
      <c r="A73" s="5"/>
      <c r="D73" s="5"/>
    </row>
    <row r="74">
      <c r="A74" s="5"/>
      <c r="D74" s="5"/>
    </row>
    <row r="75">
      <c r="A75" s="5"/>
      <c r="D75" s="5"/>
    </row>
    <row r="76">
      <c r="A76" s="5"/>
      <c r="D76" s="5"/>
    </row>
    <row r="77">
      <c r="A77" s="5"/>
      <c r="D77" s="5"/>
    </row>
    <row r="78">
      <c r="A78" s="5"/>
      <c r="D78" s="5"/>
    </row>
    <row r="79">
      <c r="A79" s="5"/>
      <c r="D79" s="5"/>
    </row>
    <row r="80">
      <c r="A80" s="5"/>
      <c r="D80" s="5"/>
    </row>
    <row r="81">
      <c r="A81" s="5"/>
      <c r="D81" s="5"/>
    </row>
    <row r="82">
      <c r="A82" s="5"/>
      <c r="D82" s="5"/>
    </row>
    <row r="83">
      <c r="A83" s="5"/>
      <c r="D83" s="5"/>
    </row>
    <row r="84">
      <c r="A84" s="5"/>
      <c r="D84" s="5"/>
    </row>
    <row r="85">
      <c r="A85" s="5"/>
      <c r="D85" s="5"/>
    </row>
    <row r="86">
      <c r="A86" s="5"/>
      <c r="D86" s="5"/>
    </row>
    <row r="87">
      <c r="A87" s="5"/>
      <c r="D87" s="5"/>
    </row>
    <row r="88">
      <c r="A88" s="5"/>
      <c r="D88" s="5"/>
    </row>
    <row r="89">
      <c r="A89" s="5"/>
      <c r="D89" s="5"/>
    </row>
    <row r="90">
      <c r="A90" s="5"/>
      <c r="D90" s="5"/>
    </row>
    <row r="91">
      <c r="A91" s="5"/>
      <c r="D91" s="5"/>
    </row>
    <row r="92">
      <c r="A92" s="5"/>
      <c r="D92" s="5"/>
    </row>
    <row r="93">
      <c r="A93" s="5"/>
      <c r="D93" s="5"/>
    </row>
    <row r="94">
      <c r="A94" s="5"/>
      <c r="D94" s="5"/>
    </row>
    <row r="95">
      <c r="A95" s="5"/>
      <c r="D95" s="5"/>
    </row>
    <row r="96">
      <c r="A96" s="5"/>
      <c r="D96" s="5"/>
    </row>
    <row r="97">
      <c r="A97" s="5"/>
      <c r="D97" s="5"/>
    </row>
    <row r="98">
      <c r="A98" s="5"/>
      <c r="D98" s="5"/>
    </row>
    <row r="99">
      <c r="A99" s="5"/>
      <c r="D99" s="5"/>
    </row>
    <row r="100">
      <c r="A100" s="5"/>
      <c r="D100" s="5"/>
    </row>
    <row r="101">
      <c r="A101" s="5"/>
      <c r="D101" s="5"/>
    </row>
    <row r="102">
      <c r="A102" s="5"/>
      <c r="D102" s="5"/>
    </row>
    <row r="103">
      <c r="A103" s="5"/>
      <c r="D103" s="5"/>
    </row>
    <row r="104">
      <c r="A104" s="5"/>
      <c r="D104" s="5"/>
    </row>
    <row r="105">
      <c r="A105" s="5"/>
      <c r="D105" s="5"/>
    </row>
    <row r="106">
      <c r="A106" s="5"/>
      <c r="D106" s="5"/>
    </row>
    <row r="107">
      <c r="A107" s="5"/>
      <c r="D107" s="5"/>
    </row>
    <row r="108">
      <c r="A108" s="5"/>
      <c r="D108" s="5"/>
    </row>
    <row r="109">
      <c r="A109" s="5"/>
      <c r="D109" s="5"/>
    </row>
    <row r="110">
      <c r="A110" s="5"/>
      <c r="D110" s="5"/>
    </row>
    <row r="111">
      <c r="A111" s="5"/>
      <c r="D111" s="5"/>
    </row>
    <row r="112">
      <c r="A112" s="5"/>
      <c r="D112" s="5"/>
    </row>
    <row r="113">
      <c r="A113" s="5"/>
      <c r="D113" s="5"/>
    </row>
    <row r="114">
      <c r="A114" s="5"/>
      <c r="D114" s="5"/>
    </row>
    <row r="115">
      <c r="A115" s="5"/>
      <c r="D115" s="5"/>
    </row>
    <row r="116">
      <c r="A116" s="5"/>
      <c r="D116" s="5"/>
    </row>
    <row r="117">
      <c r="A117" s="5"/>
      <c r="D117" s="5"/>
    </row>
    <row r="118">
      <c r="A118" s="5"/>
      <c r="D118" s="5"/>
    </row>
    <row r="119">
      <c r="A119" s="5"/>
      <c r="D119" s="5"/>
    </row>
    <row r="120">
      <c r="A120" s="5"/>
      <c r="D120" s="5"/>
    </row>
    <row r="121">
      <c r="A121" s="5"/>
      <c r="D121" s="5"/>
    </row>
    <row r="122">
      <c r="A122" s="5"/>
      <c r="D122" s="5"/>
    </row>
    <row r="123">
      <c r="A123" s="5"/>
      <c r="D123" s="5"/>
    </row>
    <row r="124">
      <c r="A124" s="5"/>
      <c r="D124" s="5"/>
    </row>
    <row r="125">
      <c r="A125" s="5"/>
      <c r="D125" s="5"/>
    </row>
    <row r="126">
      <c r="A126" s="5"/>
      <c r="D126" s="5"/>
    </row>
    <row r="127">
      <c r="A127" s="5"/>
      <c r="D127" s="5"/>
    </row>
    <row r="128">
      <c r="A128" s="5"/>
      <c r="D128" s="5"/>
    </row>
    <row r="129">
      <c r="A129" s="5"/>
      <c r="D129" s="5"/>
    </row>
    <row r="130">
      <c r="A130" s="5"/>
      <c r="D130" s="5"/>
    </row>
    <row r="131">
      <c r="A131" s="5"/>
      <c r="D131" s="5"/>
    </row>
    <row r="132">
      <c r="A132" s="5"/>
      <c r="D132" s="5"/>
    </row>
    <row r="133">
      <c r="A133" s="5"/>
      <c r="D133" s="5"/>
    </row>
    <row r="134">
      <c r="A134" s="5"/>
      <c r="D134" s="5"/>
    </row>
    <row r="135">
      <c r="A135" s="5"/>
      <c r="D135" s="5"/>
    </row>
    <row r="136">
      <c r="A136" s="5"/>
      <c r="D136" s="5"/>
    </row>
    <row r="137">
      <c r="A137" s="5"/>
      <c r="D137" s="5"/>
    </row>
    <row r="138">
      <c r="A138" s="5"/>
      <c r="D138" s="5"/>
    </row>
    <row r="139">
      <c r="A139" s="5"/>
      <c r="D139" s="5"/>
    </row>
    <row r="140">
      <c r="A140" s="5"/>
      <c r="D140" s="5"/>
    </row>
    <row r="141">
      <c r="A141" s="5"/>
      <c r="D141" s="5"/>
    </row>
    <row r="142">
      <c r="A142" s="5"/>
      <c r="D142" s="5"/>
    </row>
    <row r="143">
      <c r="A143" s="5"/>
      <c r="D143" s="5"/>
    </row>
    <row r="144">
      <c r="A144" s="5"/>
      <c r="D144" s="5"/>
    </row>
    <row r="145">
      <c r="A145" s="5"/>
      <c r="D145" s="5"/>
    </row>
    <row r="146">
      <c r="A146" s="5"/>
      <c r="D146" s="5"/>
    </row>
    <row r="147">
      <c r="A147" s="5"/>
      <c r="D147" s="5"/>
    </row>
    <row r="148">
      <c r="A148" s="5"/>
      <c r="D148" s="5"/>
    </row>
    <row r="149">
      <c r="A149" s="5"/>
      <c r="D149" s="5"/>
    </row>
    <row r="150">
      <c r="A150" s="5"/>
      <c r="D150" s="5"/>
    </row>
    <row r="151">
      <c r="A151" s="5"/>
      <c r="D151" s="5"/>
    </row>
    <row r="152">
      <c r="A152" s="5"/>
      <c r="D152" s="5"/>
    </row>
    <row r="153">
      <c r="A153" s="5"/>
      <c r="D153" s="5"/>
    </row>
    <row r="154">
      <c r="A154" s="5"/>
      <c r="D154" s="5"/>
    </row>
    <row r="155">
      <c r="A155" s="5"/>
      <c r="D155" s="5"/>
    </row>
    <row r="156">
      <c r="A156" s="5"/>
      <c r="D156" s="5"/>
    </row>
    <row r="157">
      <c r="A157" s="5"/>
      <c r="D157" s="5"/>
    </row>
    <row r="158">
      <c r="A158" s="5"/>
      <c r="D158" s="5"/>
    </row>
    <row r="159">
      <c r="A159" s="5"/>
      <c r="D159" s="5"/>
    </row>
    <row r="160">
      <c r="A160" s="5"/>
      <c r="D160" s="5"/>
    </row>
    <row r="161">
      <c r="A161" s="5"/>
      <c r="D161" s="5"/>
    </row>
    <row r="162">
      <c r="A162" s="5"/>
      <c r="D162" s="5"/>
    </row>
    <row r="163">
      <c r="A163" s="5"/>
      <c r="D163" s="5"/>
    </row>
    <row r="164">
      <c r="A164" s="5"/>
      <c r="D164" s="5"/>
    </row>
    <row r="165">
      <c r="A165" s="5"/>
      <c r="D165" s="5"/>
    </row>
    <row r="166">
      <c r="A166" s="5"/>
      <c r="D166" s="5"/>
    </row>
    <row r="167">
      <c r="A167" s="5"/>
      <c r="D167" s="5"/>
    </row>
    <row r="168">
      <c r="A168" s="5"/>
      <c r="D168" s="5"/>
    </row>
    <row r="169">
      <c r="A169" s="5"/>
      <c r="D169" s="5"/>
    </row>
    <row r="170">
      <c r="A170" s="5"/>
      <c r="D170" s="5"/>
    </row>
    <row r="171">
      <c r="A171" s="5"/>
      <c r="D171" s="5"/>
    </row>
    <row r="172">
      <c r="A172" s="5"/>
      <c r="D172" s="5"/>
    </row>
    <row r="173">
      <c r="A173" s="5"/>
      <c r="D173" s="5"/>
    </row>
    <row r="174">
      <c r="A174" s="5"/>
      <c r="D174" s="5"/>
    </row>
    <row r="175">
      <c r="A175" s="5"/>
      <c r="D175" s="5"/>
    </row>
    <row r="176">
      <c r="A176" s="5"/>
      <c r="D176" s="5"/>
    </row>
    <row r="177">
      <c r="A177" s="5"/>
      <c r="D177" s="5"/>
    </row>
    <row r="178">
      <c r="A178" s="5"/>
      <c r="D178" s="5"/>
    </row>
    <row r="179">
      <c r="A179" s="5"/>
      <c r="D179" s="5"/>
    </row>
    <row r="180">
      <c r="A180" s="5"/>
      <c r="D180" s="5"/>
    </row>
    <row r="181">
      <c r="A181" s="5"/>
      <c r="D181" s="5"/>
    </row>
    <row r="182">
      <c r="A182" s="5"/>
      <c r="D182" s="5"/>
    </row>
    <row r="183">
      <c r="A183" s="5"/>
      <c r="D183" s="5"/>
    </row>
    <row r="184">
      <c r="A184" s="5"/>
      <c r="D184" s="5"/>
    </row>
    <row r="185">
      <c r="A185" s="5"/>
      <c r="D185" s="5"/>
    </row>
    <row r="186">
      <c r="A186" s="5"/>
      <c r="D186" s="5"/>
    </row>
    <row r="187">
      <c r="A187" s="5"/>
      <c r="D187" s="5"/>
    </row>
    <row r="188">
      <c r="A188" s="5"/>
      <c r="D188" s="5"/>
    </row>
    <row r="189">
      <c r="A189" s="5"/>
      <c r="D189" s="5"/>
    </row>
    <row r="190">
      <c r="A190" s="5"/>
      <c r="D190" s="5"/>
    </row>
    <row r="191">
      <c r="A191" s="5"/>
      <c r="D191" s="5"/>
    </row>
    <row r="192">
      <c r="A192" s="5"/>
      <c r="D192" s="5"/>
    </row>
    <row r="193">
      <c r="A193" s="5"/>
      <c r="D193" s="5"/>
    </row>
    <row r="194">
      <c r="A194" s="5"/>
      <c r="D194" s="5"/>
    </row>
    <row r="195">
      <c r="A195" s="5"/>
      <c r="D195" s="5"/>
    </row>
    <row r="196">
      <c r="A196" s="5"/>
      <c r="D196" s="5"/>
    </row>
    <row r="197">
      <c r="A197" s="5"/>
      <c r="D197" s="5"/>
    </row>
    <row r="198">
      <c r="A198" s="5"/>
      <c r="D198" s="5"/>
    </row>
    <row r="199">
      <c r="A199" s="5"/>
      <c r="D199" s="5"/>
    </row>
    <row r="200">
      <c r="A200" s="5"/>
      <c r="D200" s="5"/>
    </row>
    <row r="201">
      <c r="A201" s="5"/>
      <c r="D201" s="5"/>
    </row>
    <row r="202">
      <c r="A202" s="5"/>
      <c r="D202" s="5"/>
    </row>
    <row r="203">
      <c r="A203" s="5"/>
      <c r="D203" s="5"/>
    </row>
    <row r="204">
      <c r="A204" s="5"/>
      <c r="D204" s="5"/>
    </row>
    <row r="205">
      <c r="A205" s="5"/>
      <c r="D205" s="5"/>
    </row>
    <row r="206">
      <c r="A206" s="5"/>
      <c r="D206" s="5"/>
    </row>
    <row r="207">
      <c r="A207" s="5"/>
      <c r="D207" s="5"/>
    </row>
    <row r="208">
      <c r="A208" s="5"/>
      <c r="D208" s="5"/>
    </row>
    <row r="209">
      <c r="A209" s="5"/>
      <c r="D209" s="5"/>
    </row>
    <row r="210">
      <c r="A210" s="5"/>
      <c r="D210" s="5"/>
    </row>
    <row r="211">
      <c r="A211" s="5"/>
      <c r="D211" s="5"/>
    </row>
    <row r="212">
      <c r="A212" s="5"/>
      <c r="D212" s="5"/>
    </row>
    <row r="213">
      <c r="A213" s="5"/>
      <c r="D213" s="5"/>
    </row>
    <row r="214">
      <c r="A214" s="5"/>
      <c r="D214" s="5"/>
    </row>
    <row r="215">
      <c r="A215" s="5"/>
      <c r="D215" s="5"/>
    </row>
    <row r="216">
      <c r="A216" s="5"/>
      <c r="D216" s="5"/>
    </row>
    <row r="217">
      <c r="A217" s="5"/>
      <c r="D217" s="5"/>
    </row>
    <row r="218">
      <c r="A218" s="5"/>
      <c r="D218" s="5"/>
    </row>
    <row r="219">
      <c r="A219" s="5"/>
      <c r="D219" s="5"/>
    </row>
    <row r="220">
      <c r="A220" s="5"/>
      <c r="D220" s="5"/>
    </row>
    <row r="221">
      <c r="A221" s="5"/>
      <c r="D221" s="5"/>
    </row>
    <row r="222">
      <c r="A222" s="5"/>
      <c r="D222" s="5"/>
    </row>
    <row r="223">
      <c r="A223" s="5"/>
      <c r="D223" s="5"/>
    </row>
    <row r="224">
      <c r="A224" s="5"/>
      <c r="D224" s="5"/>
    </row>
    <row r="225">
      <c r="A225" s="5"/>
      <c r="D225" s="5"/>
    </row>
    <row r="226">
      <c r="A226" s="5"/>
      <c r="D226" s="5"/>
    </row>
    <row r="227">
      <c r="A227" s="5"/>
      <c r="D227" s="5"/>
    </row>
    <row r="228">
      <c r="A228" s="5"/>
      <c r="D228" s="5"/>
    </row>
    <row r="229">
      <c r="A229" s="5"/>
      <c r="D229" s="5"/>
    </row>
    <row r="230">
      <c r="A230" s="5"/>
      <c r="D230" s="5"/>
    </row>
    <row r="231">
      <c r="A231" s="5"/>
      <c r="D231" s="5"/>
    </row>
    <row r="232">
      <c r="A232" s="5"/>
      <c r="D232" s="5"/>
    </row>
    <row r="233">
      <c r="A233" s="5"/>
      <c r="D233" s="5"/>
    </row>
    <row r="234">
      <c r="A234" s="5"/>
      <c r="D234" s="5"/>
    </row>
    <row r="235">
      <c r="A235" s="5"/>
      <c r="D235" s="5"/>
    </row>
    <row r="236">
      <c r="A236" s="5"/>
      <c r="D236" s="5"/>
    </row>
    <row r="237">
      <c r="A237" s="5"/>
      <c r="D237" s="5"/>
    </row>
    <row r="238">
      <c r="A238" s="5"/>
      <c r="D238" s="5"/>
    </row>
    <row r="239">
      <c r="A239" s="5"/>
      <c r="D239" s="5"/>
    </row>
    <row r="240">
      <c r="A240" s="5"/>
      <c r="D240" s="5"/>
    </row>
    <row r="241">
      <c r="A241" s="5"/>
      <c r="D241" s="5"/>
    </row>
    <row r="242">
      <c r="A242" s="5"/>
      <c r="D242" s="5"/>
    </row>
    <row r="243">
      <c r="A243" s="5"/>
      <c r="D243" s="5"/>
    </row>
    <row r="244">
      <c r="A244" s="5"/>
      <c r="D244" s="5"/>
    </row>
    <row r="245">
      <c r="A245" s="5"/>
      <c r="D245" s="5"/>
    </row>
    <row r="246">
      <c r="A246" s="5"/>
      <c r="D246" s="5"/>
    </row>
    <row r="247">
      <c r="A247" s="5"/>
      <c r="D247" s="5"/>
    </row>
    <row r="248">
      <c r="A248" s="5"/>
      <c r="D248" s="5"/>
    </row>
    <row r="249">
      <c r="A249" s="5"/>
      <c r="D249" s="5"/>
    </row>
    <row r="250">
      <c r="A250" s="5"/>
      <c r="D250" s="5"/>
    </row>
    <row r="251">
      <c r="A251" s="5"/>
      <c r="D251" s="5"/>
    </row>
    <row r="252">
      <c r="A252" s="5"/>
      <c r="D252" s="5"/>
    </row>
    <row r="253">
      <c r="A253" s="5"/>
      <c r="D253" s="5"/>
    </row>
    <row r="254">
      <c r="A254" s="5"/>
      <c r="D254" s="5"/>
    </row>
    <row r="255">
      <c r="A255" s="5"/>
      <c r="D255" s="5"/>
    </row>
    <row r="256">
      <c r="A256" s="5"/>
      <c r="D256" s="5"/>
    </row>
    <row r="257">
      <c r="A257" s="5"/>
      <c r="D257" s="5"/>
    </row>
    <row r="258">
      <c r="A258" s="5"/>
      <c r="D258" s="5"/>
    </row>
    <row r="259">
      <c r="A259" s="5"/>
      <c r="D259" s="5"/>
    </row>
    <row r="260">
      <c r="A260" s="5"/>
      <c r="D260" s="5"/>
    </row>
    <row r="261">
      <c r="A261" s="5"/>
      <c r="D261" s="5"/>
    </row>
    <row r="262">
      <c r="A262" s="5"/>
      <c r="D262" s="5"/>
    </row>
    <row r="263">
      <c r="A263" s="5"/>
      <c r="D263" s="5"/>
    </row>
    <row r="264">
      <c r="A264" s="5"/>
      <c r="D264" s="5"/>
    </row>
    <row r="265">
      <c r="A265" s="5"/>
      <c r="D265" s="5"/>
    </row>
    <row r="266">
      <c r="A266" s="5"/>
      <c r="D266" s="5"/>
    </row>
    <row r="267">
      <c r="A267" s="5"/>
      <c r="D267" s="5"/>
    </row>
    <row r="268">
      <c r="A268" s="5"/>
      <c r="D268" s="5"/>
    </row>
    <row r="269">
      <c r="A269" s="5"/>
      <c r="D269" s="5"/>
    </row>
    <row r="270">
      <c r="A270" s="5"/>
      <c r="D270" s="5"/>
    </row>
    <row r="271">
      <c r="A271" s="5"/>
      <c r="D271" s="5"/>
    </row>
    <row r="272">
      <c r="A272" s="5"/>
      <c r="D272" s="5"/>
    </row>
    <row r="273">
      <c r="A273" s="5"/>
      <c r="D273" s="5"/>
    </row>
    <row r="274">
      <c r="A274" s="5"/>
      <c r="D274" s="5"/>
    </row>
    <row r="275">
      <c r="A275" s="5"/>
      <c r="D275" s="5"/>
    </row>
    <row r="276">
      <c r="A276" s="5"/>
      <c r="D276" s="5"/>
    </row>
    <row r="277">
      <c r="A277" s="5"/>
      <c r="D277" s="5"/>
    </row>
    <row r="278">
      <c r="A278" s="5"/>
      <c r="D278" s="5"/>
    </row>
    <row r="279">
      <c r="A279" s="5"/>
      <c r="D279" s="5"/>
    </row>
    <row r="280">
      <c r="A280" s="5"/>
      <c r="D280" s="5"/>
    </row>
    <row r="281">
      <c r="A281" s="5"/>
      <c r="D281" s="5"/>
    </row>
    <row r="282">
      <c r="A282" s="5"/>
      <c r="D282" s="5"/>
    </row>
    <row r="283">
      <c r="A283" s="5"/>
      <c r="D283" s="5"/>
    </row>
    <row r="284">
      <c r="A284" s="5"/>
      <c r="D284" s="5"/>
    </row>
    <row r="285">
      <c r="A285" s="5"/>
      <c r="D285" s="5"/>
    </row>
    <row r="286">
      <c r="A286" s="5"/>
      <c r="D286" s="5"/>
    </row>
    <row r="287">
      <c r="A287" s="5"/>
      <c r="D287" s="5"/>
    </row>
    <row r="288">
      <c r="A288" s="5"/>
      <c r="D288" s="5"/>
    </row>
    <row r="289">
      <c r="A289" s="5"/>
      <c r="D289" s="5"/>
    </row>
    <row r="290">
      <c r="A290" s="5"/>
      <c r="D290" s="5"/>
    </row>
    <row r="291">
      <c r="A291" s="5"/>
      <c r="D291" s="5"/>
    </row>
    <row r="292">
      <c r="A292" s="5"/>
      <c r="D292" s="5"/>
    </row>
    <row r="293">
      <c r="A293" s="5"/>
      <c r="D293" s="5"/>
    </row>
    <row r="294">
      <c r="A294" s="5"/>
      <c r="D294" s="5"/>
    </row>
    <row r="295">
      <c r="A295" s="5"/>
      <c r="D295" s="5"/>
    </row>
    <row r="296">
      <c r="A296" s="5"/>
      <c r="D296" s="5"/>
    </row>
    <row r="297">
      <c r="A297" s="5"/>
      <c r="D297" s="5"/>
    </row>
    <row r="298">
      <c r="A298" s="5"/>
      <c r="D298" s="5"/>
    </row>
    <row r="299">
      <c r="A299" s="5"/>
      <c r="D299" s="5"/>
    </row>
    <row r="300">
      <c r="A300" s="5"/>
      <c r="D300" s="5"/>
    </row>
    <row r="301">
      <c r="A301" s="5"/>
      <c r="D301" s="5"/>
    </row>
    <row r="302">
      <c r="A302" s="5"/>
      <c r="D302" s="5"/>
    </row>
    <row r="303">
      <c r="A303" s="5"/>
      <c r="D303" s="5"/>
    </row>
    <row r="304">
      <c r="A304" s="5"/>
      <c r="D304" s="5"/>
    </row>
    <row r="305">
      <c r="A305" s="5"/>
      <c r="D305" s="5"/>
    </row>
    <row r="306">
      <c r="A306" s="5"/>
      <c r="D306" s="5"/>
    </row>
    <row r="307">
      <c r="A307" s="5"/>
      <c r="D307" s="5"/>
    </row>
    <row r="308">
      <c r="A308" s="5"/>
      <c r="D308" s="5"/>
    </row>
    <row r="309">
      <c r="A309" s="5"/>
      <c r="D309" s="5"/>
    </row>
    <row r="310">
      <c r="A310" s="5"/>
      <c r="D310" s="5"/>
    </row>
    <row r="311">
      <c r="A311" s="5"/>
      <c r="D311" s="5"/>
    </row>
    <row r="312">
      <c r="A312" s="5"/>
      <c r="D312" s="5"/>
    </row>
    <row r="313">
      <c r="A313" s="5"/>
      <c r="D313" s="5"/>
    </row>
    <row r="314">
      <c r="A314" s="5"/>
      <c r="D314" s="5"/>
    </row>
    <row r="315">
      <c r="A315" s="5"/>
      <c r="D315" s="5"/>
    </row>
    <row r="316">
      <c r="A316" s="5"/>
      <c r="D316" s="5"/>
    </row>
    <row r="317">
      <c r="A317" s="5"/>
      <c r="D317" s="5"/>
    </row>
    <row r="318">
      <c r="A318" s="5"/>
      <c r="D318" s="5"/>
    </row>
    <row r="319">
      <c r="A319" s="5"/>
      <c r="D319" s="5"/>
    </row>
    <row r="320">
      <c r="A320" s="5"/>
      <c r="D320" s="5"/>
    </row>
    <row r="321">
      <c r="A321" s="5"/>
      <c r="D321" s="5"/>
    </row>
    <row r="322">
      <c r="A322" s="5"/>
      <c r="D322" s="5"/>
    </row>
    <row r="323">
      <c r="A323" s="5"/>
      <c r="D323" s="5"/>
    </row>
    <row r="324">
      <c r="A324" s="5"/>
      <c r="D324" s="5"/>
    </row>
    <row r="325">
      <c r="A325" s="5"/>
      <c r="D325" s="5"/>
    </row>
    <row r="326">
      <c r="A326" s="5"/>
      <c r="D326" s="5"/>
    </row>
    <row r="327">
      <c r="A327" s="5"/>
      <c r="D327" s="5"/>
    </row>
    <row r="328">
      <c r="A328" s="5"/>
      <c r="D328" s="5"/>
    </row>
    <row r="329">
      <c r="A329" s="5"/>
      <c r="D329" s="5"/>
    </row>
    <row r="330">
      <c r="A330" s="5"/>
      <c r="D330" s="5"/>
    </row>
    <row r="331">
      <c r="A331" s="5"/>
      <c r="D331" s="5"/>
    </row>
    <row r="332">
      <c r="A332" s="5"/>
      <c r="D332" s="5"/>
    </row>
    <row r="333">
      <c r="A333" s="5"/>
      <c r="D333" s="5"/>
    </row>
    <row r="334">
      <c r="A334" s="5"/>
      <c r="D334" s="5"/>
    </row>
    <row r="335">
      <c r="A335" s="5"/>
      <c r="D335" s="5"/>
    </row>
    <row r="336">
      <c r="A336" s="5"/>
      <c r="D336" s="5"/>
    </row>
    <row r="337">
      <c r="A337" s="5"/>
      <c r="D337" s="5"/>
    </row>
    <row r="338">
      <c r="A338" s="5"/>
      <c r="D338" s="5"/>
    </row>
    <row r="339">
      <c r="A339" s="5"/>
      <c r="D339" s="5"/>
    </row>
    <row r="340">
      <c r="A340" s="5"/>
      <c r="D340" s="5"/>
    </row>
    <row r="341">
      <c r="A341" s="5"/>
      <c r="D341" s="5"/>
    </row>
    <row r="342">
      <c r="A342" s="5"/>
      <c r="D342" s="5"/>
    </row>
    <row r="343">
      <c r="A343" s="5"/>
      <c r="D343" s="5"/>
    </row>
    <row r="344">
      <c r="A344" s="5"/>
      <c r="D344" s="5"/>
    </row>
    <row r="345">
      <c r="A345" s="5"/>
      <c r="D345" s="5"/>
    </row>
    <row r="346">
      <c r="A346" s="5"/>
      <c r="D346" s="5"/>
    </row>
    <row r="347">
      <c r="A347" s="5"/>
      <c r="D347" s="5"/>
    </row>
    <row r="348">
      <c r="A348" s="5"/>
      <c r="D348" s="5"/>
    </row>
    <row r="349">
      <c r="A349" s="5"/>
      <c r="D349" s="5"/>
    </row>
    <row r="350">
      <c r="A350" s="5"/>
      <c r="D350" s="5"/>
    </row>
    <row r="351">
      <c r="A351" s="5"/>
      <c r="D351" s="5"/>
    </row>
    <row r="352">
      <c r="A352" s="5"/>
      <c r="D352" s="5"/>
    </row>
    <row r="353">
      <c r="A353" s="5"/>
      <c r="D353" s="5"/>
    </row>
    <row r="354">
      <c r="A354" s="5"/>
      <c r="D354" s="5"/>
    </row>
    <row r="355">
      <c r="A355" s="5"/>
      <c r="D355" s="5"/>
    </row>
    <row r="356">
      <c r="A356" s="5"/>
      <c r="D356" s="5"/>
    </row>
    <row r="357">
      <c r="A357" s="5"/>
      <c r="D357" s="5"/>
    </row>
    <row r="358">
      <c r="A358" s="5"/>
      <c r="D358" s="5"/>
    </row>
    <row r="359">
      <c r="A359" s="5"/>
      <c r="D359" s="5"/>
    </row>
    <row r="360">
      <c r="A360" s="5"/>
      <c r="D360" s="5"/>
    </row>
    <row r="361">
      <c r="A361" s="5"/>
      <c r="D361" s="5"/>
    </row>
    <row r="362">
      <c r="A362" s="5"/>
      <c r="D362" s="5"/>
    </row>
    <row r="363">
      <c r="A363" s="5"/>
      <c r="D363" s="5"/>
    </row>
    <row r="364">
      <c r="A364" s="5"/>
      <c r="D364" s="5"/>
    </row>
    <row r="365">
      <c r="A365" s="5"/>
      <c r="D365" s="5"/>
    </row>
    <row r="366">
      <c r="A366" s="5"/>
      <c r="D366" s="5"/>
    </row>
    <row r="367">
      <c r="A367" s="5"/>
      <c r="D367" s="5"/>
    </row>
    <row r="368">
      <c r="A368" s="5"/>
      <c r="D368" s="5"/>
    </row>
    <row r="369">
      <c r="A369" s="5"/>
      <c r="D369" s="5"/>
    </row>
    <row r="370">
      <c r="A370" s="5"/>
      <c r="D370" s="5"/>
    </row>
    <row r="371">
      <c r="A371" s="5"/>
      <c r="D371" s="5"/>
    </row>
    <row r="372">
      <c r="A372" s="5"/>
      <c r="D372" s="5"/>
    </row>
    <row r="373">
      <c r="A373" s="5"/>
      <c r="D373" s="5"/>
    </row>
    <row r="374">
      <c r="A374" s="5"/>
      <c r="D374" s="5"/>
    </row>
    <row r="375">
      <c r="A375" s="5"/>
      <c r="D375" s="5"/>
    </row>
    <row r="376">
      <c r="A376" s="5"/>
      <c r="D376" s="5"/>
    </row>
    <row r="377">
      <c r="A377" s="5"/>
      <c r="D377" s="5"/>
    </row>
    <row r="378">
      <c r="A378" s="5"/>
      <c r="D378" s="5"/>
    </row>
    <row r="379">
      <c r="A379" s="5"/>
      <c r="D379" s="5"/>
    </row>
    <row r="380">
      <c r="A380" s="5"/>
      <c r="D380" s="5"/>
    </row>
    <row r="381">
      <c r="A381" s="5"/>
      <c r="D381" s="5"/>
    </row>
    <row r="382">
      <c r="A382" s="5"/>
      <c r="D382" s="5"/>
    </row>
    <row r="383">
      <c r="A383" s="5"/>
      <c r="D383" s="5"/>
    </row>
    <row r="384">
      <c r="A384" s="5"/>
      <c r="D384" s="5"/>
    </row>
    <row r="385">
      <c r="A385" s="5"/>
      <c r="D385" s="5"/>
    </row>
    <row r="386">
      <c r="A386" s="5"/>
      <c r="D386" s="5"/>
    </row>
    <row r="387">
      <c r="A387" s="5"/>
      <c r="D387" s="5"/>
    </row>
    <row r="388">
      <c r="A388" s="5"/>
      <c r="D388" s="5"/>
    </row>
    <row r="389">
      <c r="A389" s="5"/>
      <c r="D389" s="5"/>
    </row>
    <row r="390">
      <c r="A390" s="5"/>
      <c r="D390" s="5"/>
    </row>
    <row r="391">
      <c r="A391" s="5"/>
      <c r="D391" s="5"/>
    </row>
    <row r="392">
      <c r="A392" s="5"/>
      <c r="D392" s="5"/>
    </row>
    <row r="393">
      <c r="A393" s="5"/>
      <c r="D393" s="5"/>
    </row>
    <row r="394">
      <c r="A394" s="5"/>
      <c r="D394" s="5"/>
    </row>
    <row r="395">
      <c r="A395" s="5"/>
      <c r="D395" s="5"/>
    </row>
    <row r="396">
      <c r="A396" s="5"/>
      <c r="D396" s="5"/>
    </row>
    <row r="397">
      <c r="A397" s="5"/>
      <c r="D397" s="5"/>
    </row>
    <row r="398">
      <c r="A398" s="5"/>
      <c r="D398" s="5"/>
    </row>
    <row r="399">
      <c r="A399" s="5"/>
      <c r="D399" s="5"/>
    </row>
    <row r="400">
      <c r="A400" s="5"/>
      <c r="D400" s="5"/>
    </row>
    <row r="401">
      <c r="A401" s="5"/>
      <c r="D401" s="5"/>
    </row>
    <row r="402">
      <c r="A402" s="5"/>
      <c r="D402" s="5"/>
    </row>
    <row r="403">
      <c r="A403" s="5"/>
      <c r="D403" s="5"/>
    </row>
    <row r="404">
      <c r="A404" s="5"/>
      <c r="D404" s="5"/>
    </row>
    <row r="405">
      <c r="A405" s="5"/>
      <c r="D405" s="5"/>
    </row>
    <row r="406">
      <c r="A406" s="5"/>
      <c r="D406" s="5"/>
    </row>
    <row r="407">
      <c r="A407" s="5"/>
      <c r="D407" s="5"/>
    </row>
    <row r="408">
      <c r="A408" s="5"/>
      <c r="D408" s="5"/>
    </row>
    <row r="409">
      <c r="A409" s="5"/>
      <c r="D409" s="5"/>
    </row>
    <row r="410">
      <c r="A410" s="5"/>
      <c r="D410" s="5"/>
    </row>
    <row r="411">
      <c r="A411" s="5"/>
      <c r="D411" s="5"/>
    </row>
    <row r="412">
      <c r="A412" s="5"/>
      <c r="D412" s="5"/>
    </row>
    <row r="413">
      <c r="A413" s="5"/>
      <c r="D413" s="5"/>
    </row>
    <row r="414">
      <c r="A414" s="5"/>
      <c r="D414" s="5"/>
    </row>
    <row r="415">
      <c r="A415" s="5"/>
      <c r="D415" s="5"/>
    </row>
    <row r="416">
      <c r="A416" s="5"/>
      <c r="D416" s="5"/>
    </row>
    <row r="417">
      <c r="A417" s="5"/>
      <c r="D417" s="5"/>
    </row>
    <row r="418">
      <c r="A418" s="5"/>
      <c r="D418" s="5"/>
    </row>
    <row r="419">
      <c r="A419" s="5"/>
      <c r="D419" s="5"/>
    </row>
    <row r="420">
      <c r="A420" s="5"/>
      <c r="D420" s="5"/>
    </row>
    <row r="421">
      <c r="A421" s="5"/>
      <c r="D421" s="5"/>
    </row>
    <row r="422">
      <c r="A422" s="5"/>
      <c r="D422" s="5"/>
    </row>
    <row r="423">
      <c r="A423" s="5"/>
      <c r="D423" s="5"/>
    </row>
    <row r="424">
      <c r="A424" s="5"/>
      <c r="D424" s="5"/>
    </row>
    <row r="425">
      <c r="A425" s="5"/>
      <c r="D425" s="5"/>
    </row>
    <row r="426">
      <c r="A426" s="5"/>
      <c r="D426" s="5"/>
    </row>
    <row r="427">
      <c r="A427" s="5"/>
      <c r="D427" s="5"/>
    </row>
    <row r="428">
      <c r="A428" s="5"/>
      <c r="D428" s="5"/>
    </row>
    <row r="429">
      <c r="A429" s="5"/>
      <c r="D429" s="5"/>
    </row>
    <row r="430">
      <c r="A430" s="5"/>
      <c r="D430" s="5"/>
    </row>
    <row r="431">
      <c r="A431" s="5"/>
      <c r="D431" s="5"/>
    </row>
    <row r="432">
      <c r="A432" s="5"/>
      <c r="D432" s="5"/>
    </row>
    <row r="433">
      <c r="A433" s="5"/>
      <c r="D433" s="5"/>
    </row>
    <row r="434">
      <c r="A434" s="5"/>
      <c r="D434" s="5"/>
    </row>
    <row r="435">
      <c r="A435" s="5"/>
      <c r="D435" s="5"/>
    </row>
    <row r="436">
      <c r="A436" s="5"/>
      <c r="D436" s="5"/>
    </row>
    <row r="437">
      <c r="A437" s="5"/>
      <c r="D437" s="5"/>
    </row>
    <row r="438">
      <c r="A438" s="5"/>
      <c r="D438" s="5"/>
    </row>
    <row r="439">
      <c r="A439" s="5"/>
      <c r="D439" s="5"/>
    </row>
    <row r="440">
      <c r="A440" s="5"/>
      <c r="D440" s="5"/>
    </row>
    <row r="441">
      <c r="A441" s="5"/>
      <c r="D441" s="5"/>
    </row>
    <row r="442">
      <c r="A442" s="5"/>
      <c r="D442" s="5"/>
    </row>
    <row r="443">
      <c r="A443" s="5"/>
      <c r="D443" s="5"/>
    </row>
    <row r="444">
      <c r="A444" s="5"/>
      <c r="D444" s="5"/>
    </row>
    <row r="445">
      <c r="A445" s="5"/>
      <c r="D445" s="5"/>
    </row>
    <row r="446">
      <c r="A446" s="5"/>
      <c r="D446" s="5"/>
    </row>
    <row r="447">
      <c r="A447" s="5"/>
      <c r="D447" s="5"/>
    </row>
    <row r="448">
      <c r="A448" s="5"/>
      <c r="D448" s="5"/>
    </row>
    <row r="449">
      <c r="A449" s="5"/>
      <c r="D449" s="5"/>
    </row>
    <row r="450">
      <c r="A450" s="5"/>
      <c r="D450" s="5"/>
    </row>
    <row r="451">
      <c r="A451" s="5"/>
      <c r="D451" s="5"/>
    </row>
    <row r="452">
      <c r="A452" s="5"/>
      <c r="D452" s="5"/>
    </row>
    <row r="453">
      <c r="A453" s="5"/>
      <c r="D453" s="5"/>
    </row>
    <row r="454">
      <c r="A454" s="5"/>
      <c r="D454" s="5"/>
    </row>
    <row r="455">
      <c r="A455" s="5"/>
      <c r="D455" s="5"/>
    </row>
    <row r="456">
      <c r="A456" s="5"/>
      <c r="D456" s="5"/>
    </row>
    <row r="457">
      <c r="A457" s="5"/>
      <c r="D457" s="5"/>
    </row>
    <row r="458">
      <c r="A458" s="5"/>
      <c r="D458" s="5"/>
    </row>
    <row r="459">
      <c r="A459" s="5"/>
      <c r="D459" s="5"/>
    </row>
    <row r="460">
      <c r="A460" s="5"/>
      <c r="D460" s="5"/>
    </row>
    <row r="461">
      <c r="A461" s="5"/>
      <c r="D461" s="5"/>
    </row>
    <row r="462">
      <c r="A462" s="5"/>
      <c r="D462" s="5"/>
    </row>
    <row r="463">
      <c r="A463" s="5"/>
      <c r="D463" s="5"/>
    </row>
    <row r="464">
      <c r="A464" s="5"/>
      <c r="D464" s="5"/>
    </row>
    <row r="465">
      <c r="A465" s="5"/>
      <c r="D465" s="5"/>
    </row>
    <row r="466">
      <c r="A466" s="5"/>
      <c r="D466" s="5"/>
    </row>
    <row r="467">
      <c r="A467" s="5"/>
      <c r="D467" s="5"/>
    </row>
    <row r="468">
      <c r="A468" s="5"/>
      <c r="D468" s="5"/>
    </row>
    <row r="469">
      <c r="A469" s="5"/>
      <c r="D469" s="5"/>
    </row>
    <row r="470">
      <c r="A470" s="5"/>
      <c r="D470" s="5"/>
    </row>
    <row r="471">
      <c r="A471" s="5"/>
      <c r="D471" s="5"/>
    </row>
    <row r="472">
      <c r="A472" s="5"/>
      <c r="D472" s="5"/>
    </row>
    <row r="473">
      <c r="A473" s="5"/>
      <c r="D473" s="5"/>
    </row>
    <row r="474">
      <c r="A474" s="5"/>
      <c r="D474" s="5"/>
    </row>
    <row r="475">
      <c r="A475" s="5"/>
      <c r="D475" s="5"/>
    </row>
    <row r="476">
      <c r="A476" s="5"/>
      <c r="D476" s="5"/>
    </row>
    <row r="477">
      <c r="A477" s="5"/>
      <c r="D477" s="5"/>
    </row>
    <row r="478">
      <c r="A478" s="5"/>
      <c r="D478" s="5"/>
    </row>
    <row r="479">
      <c r="A479" s="5"/>
      <c r="D479" s="5"/>
    </row>
    <row r="480">
      <c r="A480" s="5"/>
      <c r="D480" s="5"/>
    </row>
    <row r="481">
      <c r="A481" s="5"/>
      <c r="D481" s="5"/>
    </row>
    <row r="482">
      <c r="A482" s="5"/>
      <c r="D482" s="5"/>
    </row>
    <row r="483">
      <c r="A483" s="5"/>
      <c r="D483" s="5"/>
    </row>
    <row r="484">
      <c r="A484" s="5"/>
      <c r="D484" s="5"/>
    </row>
    <row r="485">
      <c r="A485" s="5"/>
      <c r="D485" s="5"/>
    </row>
    <row r="486">
      <c r="A486" s="5"/>
      <c r="D486" s="5"/>
    </row>
    <row r="487">
      <c r="A487" s="5"/>
      <c r="D487" s="5"/>
    </row>
    <row r="488">
      <c r="A488" s="5"/>
      <c r="D488" s="5"/>
    </row>
    <row r="489">
      <c r="A489" s="5"/>
      <c r="D489" s="5"/>
    </row>
    <row r="490">
      <c r="A490" s="5"/>
      <c r="D490" s="5"/>
    </row>
    <row r="491">
      <c r="A491" s="5"/>
      <c r="D491" s="5"/>
    </row>
    <row r="492">
      <c r="A492" s="5"/>
      <c r="D492" s="5"/>
    </row>
    <row r="493">
      <c r="A493" s="5"/>
      <c r="D493" s="5"/>
    </row>
    <row r="494">
      <c r="A494" s="5"/>
      <c r="D494" s="5"/>
    </row>
    <row r="495">
      <c r="A495" s="5"/>
      <c r="D495" s="5"/>
    </row>
    <row r="496">
      <c r="A496" s="5"/>
      <c r="D496" s="5"/>
    </row>
    <row r="497">
      <c r="A497" s="5"/>
      <c r="D497" s="5"/>
    </row>
    <row r="498">
      <c r="A498" s="5"/>
      <c r="D498" s="5"/>
    </row>
    <row r="499">
      <c r="A499" s="5"/>
      <c r="D499" s="5"/>
    </row>
    <row r="500">
      <c r="A500" s="5"/>
      <c r="D500" s="5"/>
    </row>
    <row r="501">
      <c r="A501" s="5"/>
      <c r="D501" s="5"/>
    </row>
    <row r="502">
      <c r="A502" s="5"/>
      <c r="D502" s="5"/>
    </row>
    <row r="503">
      <c r="A503" s="5"/>
      <c r="D503" s="5"/>
    </row>
    <row r="504">
      <c r="A504" s="5"/>
      <c r="D504" s="5"/>
    </row>
    <row r="505">
      <c r="A505" s="5"/>
      <c r="D505" s="5"/>
    </row>
    <row r="506">
      <c r="A506" s="5"/>
      <c r="D506" s="5"/>
    </row>
    <row r="507">
      <c r="A507" s="5"/>
      <c r="D507" s="5"/>
    </row>
    <row r="508">
      <c r="A508" s="5"/>
      <c r="D508" s="5"/>
    </row>
    <row r="509">
      <c r="A509" s="5"/>
      <c r="D509" s="5"/>
    </row>
    <row r="510">
      <c r="A510" s="5"/>
      <c r="D510" s="5"/>
    </row>
    <row r="511">
      <c r="A511" s="5"/>
      <c r="D511" s="5"/>
    </row>
    <row r="512">
      <c r="A512" s="5"/>
      <c r="D512" s="5"/>
    </row>
    <row r="513">
      <c r="A513" s="5"/>
      <c r="D513" s="5"/>
    </row>
    <row r="514">
      <c r="A514" s="5"/>
      <c r="D514" s="5"/>
    </row>
    <row r="515">
      <c r="A515" s="5"/>
      <c r="D515" s="5"/>
    </row>
    <row r="516">
      <c r="A516" s="5"/>
      <c r="D516" s="5"/>
    </row>
    <row r="517">
      <c r="A517" s="5"/>
      <c r="D517" s="5"/>
    </row>
    <row r="518">
      <c r="A518" s="5"/>
      <c r="D518" s="5"/>
    </row>
    <row r="519">
      <c r="A519" s="5"/>
      <c r="D519" s="5"/>
    </row>
    <row r="520">
      <c r="A520" s="5"/>
      <c r="D520" s="5"/>
    </row>
    <row r="521">
      <c r="A521" s="5"/>
      <c r="D521" s="5"/>
    </row>
    <row r="522">
      <c r="A522" s="5"/>
      <c r="D522" s="5"/>
    </row>
    <row r="523">
      <c r="A523" s="5"/>
      <c r="D523" s="5"/>
    </row>
    <row r="524">
      <c r="A524" s="5"/>
      <c r="D524" s="5"/>
    </row>
    <row r="525">
      <c r="A525" s="5"/>
      <c r="D525" s="5"/>
    </row>
    <row r="526">
      <c r="A526" s="5"/>
      <c r="D526" s="5"/>
    </row>
    <row r="527">
      <c r="A527" s="5"/>
      <c r="D527" s="5"/>
    </row>
    <row r="528">
      <c r="A528" s="5"/>
      <c r="D528" s="5"/>
    </row>
    <row r="529">
      <c r="A529" s="5"/>
      <c r="D529" s="5"/>
    </row>
    <row r="530">
      <c r="A530" s="5"/>
      <c r="D530" s="5"/>
    </row>
    <row r="531">
      <c r="A531" s="5"/>
      <c r="D531" s="5"/>
    </row>
    <row r="532">
      <c r="A532" s="5"/>
      <c r="D532" s="5"/>
    </row>
    <row r="533">
      <c r="A533" s="5"/>
      <c r="D533" s="5"/>
    </row>
    <row r="534">
      <c r="A534" s="5"/>
      <c r="D534" s="5"/>
    </row>
    <row r="535">
      <c r="A535" s="5"/>
      <c r="D535" s="5"/>
    </row>
    <row r="536">
      <c r="A536" s="5"/>
      <c r="D536" s="5"/>
    </row>
    <row r="537">
      <c r="A537" s="5"/>
      <c r="D537" s="5"/>
    </row>
    <row r="538">
      <c r="A538" s="5"/>
      <c r="D538" s="5"/>
    </row>
    <row r="539">
      <c r="A539" s="5"/>
      <c r="D539" s="5"/>
    </row>
    <row r="540">
      <c r="A540" s="5"/>
      <c r="D540" s="5"/>
    </row>
    <row r="541">
      <c r="A541" s="5"/>
      <c r="D541" s="5"/>
    </row>
    <row r="542">
      <c r="A542" s="5"/>
      <c r="D542" s="5"/>
    </row>
    <row r="543">
      <c r="A543" s="5"/>
      <c r="D543" s="5"/>
    </row>
    <row r="544">
      <c r="A544" s="5"/>
      <c r="D544" s="5"/>
    </row>
    <row r="545">
      <c r="A545" s="5"/>
      <c r="D545" s="5"/>
    </row>
    <row r="546">
      <c r="A546" s="5"/>
      <c r="D546" s="5"/>
    </row>
    <row r="547">
      <c r="A547" s="5"/>
      <c r="D547" s="5"/>
    </row>
    <row r="548">
      <c r="A548" s="5"/>
      <c r="D548" s="5"/>
    </row>
    <row r="549">
      <c r="A549" s="5"/>
      <c r="D549" s="5"/>
    </row>
    <row r="550">
      <c r="A550" s="5"/>
      <c r="D550" s="5"/>
    </row>
    <row r="551">
      <c r="A551" s="5"/>
      <c r="D551" s="5"/>
    </row>
    <row r="552">
      <c r="A552" s="5"/>
      <c r="D552" s="5"/>
    </row>
    <row r="553">
      <c r="A553" s="5"/>
      <c r="D553" s="5"/>
    </row>
    <row r="554">
      <c r="A554" s="5"/>
      <c r="D554" s="5"/>
    </row>
    <row r="555">
      <c r="A555" s="5"/>
      <c r="D555" s="5"/>
    </row>
    <row r="556">
      <c r="A556" s="5"/>
      <c r="D556" s="5"/>
    </row>
    <row r="557">
      <c r="A557" s="5"/>
      <c r="D557" s="5"/>
    </row>
    <row r="558">
      <c r="A558" s="5"/>
      <c r="D558" s="5"/>
    </row>
    <row r="559">
      <c r="A559" s="5"/>
      <c r="D559" s="5"/>
    </row>
    <row r="560">
      <c r="A560" s="5"/>
      <c r="D560" s="5"/>
    </row>
    <row r="561">
      <c r="A561" s="5"/>
      <c r="D561" s="5"/>
    </row>
    <row r="562">
      <c r="A562" s="5"/>
      <c r="D562" s="5"/>
    </row>
    <row r="563">
      <c r="A563" s="5"/>
      <c r="D563" s="5"/>
    </row>
    <row r="564">
      <c r="A564" s="5"/>
      <c r="D564" s="5"/>
    </row>
    <row r="565">
      <c r="A565" s="5"/>
      <c r="D565" s="5"/>
    </row>
    <row r="566">
      <c r="A566" s="5"/>
      <c r="D566" s="5"/>
    </row>
    <row r="567">
      <c r="A567" s="5"/>
      <c r="D567" s="5"/>
    </row>
    <row r="568">
      <c r="A568" s="5"/>
      <c r="D568" s="5"/>
    </row>
    <row r="569">
      <c r="A569" s="5"/>
      <c r="D569" s="5"/>
    </row>
    <row r="570">
      <c r="A570" s="5"/>
      <c r="D570" s="5"/>
    </row>
    <row r="571">
      <c r="A571" s="5"/>
      <c r="D571" s="5"/>
    </row>
    <row r="572">
      <c r="A572" s="5"/>
      <c r="D572" s="5"/>
    </row>
    <row r="573">
      <c r="A573" s="5"/>
      <c r="D573" s="5"/>
    </row>
    <row r="574">
      <c r="A574" s="5"/>
      <c r="D574" s="5"/>
    </row>
    <row r="575">
      <c r="A575" s="5"/>
      <c r="D575" s="5"/>
    </row>
    <row r="576">
      <c r="A576" s="5"/>
      <c r="D576" s="5"/>
    </row>
    <row r="577">
      <c r="A577" s="5"/>
      <c r="D577" s="5"/>
    </row>
    <row r="578">
      <c r="A578" s="5"/>
      <c r="D578" s="5"/>
    </row>
    <row r="579">
      <c r="A579" s="5"/>
      <c r="D579" s="5"/>
    </row>
    <row r="580">
      <c r="A580" s="5"/>
      <c r="D580" s="5"/>
    </row>
    <row r="581">
      <c r="A581" s="5"/>
      <c r="D581" s="5"/>
    </row>
    <row r="582">
      <c r="A582" s="5"/>
      <c r="D582" s="5"/>
    </row>
    <row r="583">
      <c r="A583" s="5"/>
      <c r="D583" s="5"/>
    </row>
    <row r="584">
      <c r="A584" s="5"/>
      <c r="D584" s="5"/>
    </row>
    <row r="585">
      <c r="A585" s="5"/>
      <c r="D585" s="5"/>
    </row>
    <row r="586">
      <c r="A586" s="5"/>
      <c r="D586" s="5"/>
    </row>
    <row r="587">
      <c r="A587" s="5"/>
      <c r="D587" s="5"/>
    </row>
    <row r="588">
      <c r="A588" s="5"/>
      <c r="D588" s="5"/>
    </row>
    <row r="589">
      <c r="A589" s="5"/>
      <c r="D589" s="5"/>
    </row>
    <row r="590">
      <c r="A590" s="5"/>
      <c r="D590" s="5"/>
    </row>
    <row r="591">
      <c r="A591" s="5"/>
      <c r="D591" s="5"/>
    </row>
    <row r="592">
      <c r="A592" s="5"/>
      <c r="D592" s="5"/>
    </row>
    <row r="593">
      <c r="A593" s="5"/>
      <c r="D593" s="5"/>
    </row>
    <row r="594">
      <c r="A594" s="5"/>
      <c r="D594" s="5"/>
    </row>
    <row r="595">
      <c r="A595" s="5"/>
      <c r="D595" s="5"/>
    </row>
    <row r="596">
      <c r="A596" s="5"/>
      <c r="D596" s="5"/>
    </row>
    <row r="597">
      <c r="A597" s="5"/>
      <c r="D597" s="5"/>
    </row>
    <row r="598">
      <c r="A598" s="5"/>
      <c r="D598" s="5"/>
    </row>
    <row r="599">
      <c r="A599" s="5"/>
      <c r="D599" s="5"/>
    </row>
    <row r="600">
      <c r="A600" s="5"/>
      <c r="D600" s="5"/>
    </row>
    <row r="601">
      <c r="A601" s="5"/>
      <c r="D601" s="5"/>
    </row>
    <row r="602">
      <c r="A602" s="5"/>
      <c r="D602" s="5"/>
    </row>
    <row r="603">
      <c r="A603" s="5"/>
      <c r="D603" s="5"/>
    </row>
    <row r="604">
      <c r="A604" s="5"/>
      <c r="D604" s="5"/>
    </row>
    <row r="605">
      <c r="A605" s="5"/>
      <c r="D605" s="5"/>
    </row>
    <row r="606">
      <c r="A606" s="5"/>
      <c r="D606" s="5"/>
    </row>
    <row r="607">
      <c r="A607" s="5"/>
      <c r="D607" s="5"/>
    </row>
    <row r="608">
      <c r="A608" s="5"/>
      <c r="D608" s="5"/>
    </row>
    <row r="609">
      <c r="A609" s="5"/>
      <c r="D609" s="5"/>
    </row>
    <row r="610">
      <c r="A610" s="5"/>
      <c r="D610" s="5"/>
    </row>
    <row r="611">
      <c r="A611" s="5"/>
      <c r="D611" s="5"/>
    </row>
    <row r="612">
      <c r="A612" s="5"/>
      <c r="D612" s="5"/>
    </row>
    <row r="613">
      <c r="A613" s="5"/>
      <c r="D613" s="5"/>
    </row>
    <row r="614">
      <c r="A614" s="5"/>
      <c r="D614" s="5"/>
    </row>
    <row r="615">
      <c r="A615" s="5"/>
      <c r="D615" s="5"/>
    </row>
    <row r="616">
      <c r="A616" s="5"/>
      <c r="D616" s="5"/>
    </row>
    <row r="617">
      <c r="A617" s="5"/>
      <c r="D617" s="5"/>
    </row>
    <row r="618">
      <c r="A618" s="5"/>
      <c r="D618" s="5"/>
    </row>
    <row r="619">
      <c r="A619" s="5"/>
      <c r="D619" s="5"/>
    </row>
    <row r="620">
      <c r="A620" s="5"/>
      <c r="D620" s="5"/>
    </row>
    <row r="621">
      <c r="A621" s="5"/>
      <c r="D621" s="5"/>
    </row>
    <row r="622">
      <c r="A622" s="5"/>
      <c r="D622" s="5"/>
    </row>
    <row r="623">
      <c r="A623" s="5"/>
      <c r="D623" s="5"/>
    </row>
    <row r="624">
      <c r="A624" s="5"/>
      <c r="D624" s="5"/>
    </row>
    <row r="625">
      <c r="A625" s="5"/>
      <c r="D625" s="5"/>
    </row>
    <row r="626">
      <c r="A626" s="5"/>
      <c r="D626" s="5"/>
    </row>
    <row r="627">
      <c r="A627" s="5"/>
      <c r="D627" s="5"/>
    </row>
    <row r="628">
      <c r="A628" s="5"/>
      <c r="D628" s="5"/>
    </row>
    <row r="629">
      <c r="A629" s="5"/>
      <c r="D629" s="5"/>
    </row>
    <row r="630">
      <c r="A630" s="5"/>
      <c r="D630" s="5"/>
    </row>
    <row r="631">
      <c r="A631" s="5"/>
      <c r="D631" s="5"/>
    </row>
    <row r="632">
      <c r="A632" s="5"/>
      <c r="D632" s="5"/>
    </row>
    <row r="633">
      <c r="A633" s="5"/>
      <c r="D633" s="5"/>
    </row>
    <row r="634">
      <c r="A634" s="5"/>
      <c r="D634" s="5"/>
    </row>
    <row r="635">
      <c r="A635" s="5"/>
      <c r="D635" s="5"/>
    </row>
    <row r="636">
      <c r="A636" s="5"/>
      <c r="D636" s="5"/>
    </row>
    <row r="637">
      <c r="A637" s="5"/>
      <c r="D637" s="5"/>
    </row>
    <row r="638">
      <c r="A638" s="5"/>
      <c r="D638" s="5"/>
    </row>
    <row r="639">
      <c r="A639" s="5"/>
      <c r="D639" s="5"/>
    </row>
    <row r="640">
      <c r="A640" s="5"/>
      <c r="D640" s="5"/>
    </row>
    <row r="641">
      <c r="A641" s="5"/>
      <c r="D641" s="5"/>
    </row>
    <row r="642">
      <c r="A642" s="5"/>
      <c r="D642" s="5"/>
    </row>
    <row r="643">
      <c r="A643" s="5"/>
      <c r="D643" s="5"/>
    </row>
    <row r="644">
      <c r="A644" s="5"/>
      <c r="D644" s="5"/>
    </row>
    <row r="645">
      <c r="A645" s="5"/>
      <c r="D645" s="5"/>
    </row>
    <row r="646">
      <c r="A646" s="5"/>
      <c r="D646" s="5"/>
    </row>
    <row r="647">
      <c r="A647" s="5"/>
      <c r="D647" s="5"/>
    </row>
    <row r="648">
      <c r="A648" s="5"/>
      <c r="D648" s="5"/>
    </row>
    <row r="649">
      <c r="A649" s="5"/>
      <c r="D649" s="5"/>
    </row>
    <row r="650">
      <c r="A650" s="5"/>
      <c r="D650" s="5"/>
    </row>
    <row r="651">
      <c r="A651" s="5"/>
      <c r="D651" s="5"/>
    </row>
    <row r="652">
      <c r="A652" s="5"/>
      <c r="D652" s="5"/>
    </row>
    <row r="653">
      <c r="A653" s="5"/>
      <c r="D653" s="5"/>
    </row>
    <row r="654">
      <c r="A654" s="5"/>
      <c r="D654" s="5"/>
    </row>
    <row r="655">
      <c r="A655" s="5"/>
      <c r="D655" s="5"/>
    </row>
    <row r="656">
      <c r="A656" s="5"/>
      <c r="D656" s="5"/>
    </row>
    <row r="657">
      <c r="A657" s="5"/>
      <c r="D657" s="5"/>
    </row>
    <row r="658">
      <c r="A658" s="5"/>
      <c r="D658" s="5"/>
    </row>
    <row r="659">
      <c r="A659" s="5"/>
      <c r="D659" s="5"/>
    </row>
    <row r="660">
      <c r="A660" s="5"/>
      <c r="D660" s="5"/>
    </row>
    <row r="661">
      <c r="A661" s="5"/>
      <c r="D661" s="5"/>
    </row>
    <row r="662">
      <c r="A662" s="5"/>
      <c r="D662" s="5"/>
    </row>
    <row r="663">
      <c r="A663" s="5"/>
      <c r="D663" s="5"/>
    </row>
    <row r="664">
      <c r="A664" s="5"/>
      <c r="D664" s="5"/>
    </row>
    <row r="665">
      <c r="A665" s="5"/>
      <c r="D665" s="5"/>
    </row>
    <row r="666">
      <c r="A666" s="5"/>
      <c r="D666" s="5"/>
    </row>
    <row r="667">
      <c r="A667" s="5"/>
      <c r="D667" s="5"/>
    </row>
    <row r="668">
      <c r="A668" s="5"/>
      <c r="D668" s="5"/>
    </row>
    <row r="669">
      <c r="A669" s="5"/>
      <c r="D669" s="5"/>
    </row>
    <row r="670">
      <c r="A670" s="5"/>
      <c r="D670" s="5"/>
    </row>
    <row r="671">
      <c r="A671" s="5"/>
      <c r="D671" s="5"/>
    </row>
    <row r="672">
      <c r="A672" s="5"/>
      <c r="D672" s="5"/>
    </row>
    <row r="673">
      <c r="A673" s="5"/>
      <c r="D673" s="5"/>
    </row>
    <row r="674">
      <c r="A674" s="5"/>
      <c r="D674" s="5"/>
    </row>
    <row r="675">
      <c r="A675" s="5"/>
      <c r="D675" s="5"/>
    </row>
    <row r="676">
      <c r="A676" s="5"/>
      <c r="D676" s="5"/>
    </row>
    <row r="677">
      <c r="A677" s="5"/>
      <c r="D677" s="5"/>
    </row>
    <row r="678">
      <c r="A678" s="5"/>
      <c r="D678" s="5"/>
    </row>
    <row r="679">
      <c r="A679" s="5"/>
      <c r="D679" s="5"/>
    </row>
    <row r="680">
      <c r="A680" s="5"/>
      <c r="D680" s="5"/>
    </row>
    <row r="681">
      <c r="A681" s="5"/>
      <c r="D681" s="5"/>
    </row>
    <row r="682">
      <c r="A682" s="5"/>
      <c r="D682" s="5"/>
    </row>
    <row r="683">
      <c r="A683" s="5"/>
      <c r="D683" s="5"/>
    </row>
    <row r="684">
      <c r="A684" s="5"/>
      <c r="D684" s="5"/>
    </row>
    <row r="685">
      <c r="A685" s="5"/>
      <c r="D685" s="5"/>
    </row>
    <row r="686">
      <c r="A686" s="5"/>
      <c r="D686" s="5"/>
    </row>
    <row r="687">
      <c r="A687" s="5"/>
      <c r="D687" s="5"/>
    </row>
    <row r="688">
      <c r="A688" s="5"/>
      <c r="D688" s="5"/>
    </row>
    <row r="689">
      <c r="A689" s="5"/>
      <c r="D689" s="5"/>
    </row>
    <row r="690">
      <c r="A690" s="5"/>
      <c r="D690" s="5"/>
    </row>
    <row r="691">
      <c r="A691" s="5"/>
      <c r="D691" s="5"/>
    </row>
    <row r="692">
      <c r="A692" s="5"/>
      <c r="D692" s="5"/>
    </row>
    <row r="693">
      <c r="A693" s="5"/>
      <c r="D693" s="5"/>
    </row>
    <row r="694">
      <c r="A694" s="5"/>
      <c r="D694" s="5"/>
    </row>
    <row r="695">
      <c r="A695" s="5"/>
      <c r="D695" s="5"/>
    </row>
    <row r="696">
      <c r="A696" s="5"/>
      <c r="D696" s="5"/>
    </row>
    <row r="697">
      <c r="A697" s="5"/>
      <c r="D697" s="5"/>
    </row>
    <row r="698">
      <c r="A698" s="5"/>
      <c r="D698" s="5"/>
    </row>
    <row r="699">
      <c r="A699" s="5"/>
      <c r="D699" s="5"/>
    </row>
    <row r="700">
      <c r="A700" s="5"/>
      <c r="D700" s="5"/>
    </row>
    <row r="701">
      <c r="A701" s="5"/>
      <c r="D701" s="5"/>
    </row>
    <row r="702">
      <c r="A702" s="5"/>
      <c r="D702" s="5"/>
    </row>
    <row r="703">
      <c r="A703" s="5"/>
      <c r="D703" s="5"/>
    </row>
    <row r="704">
      <c r="A704" s="5"/>
      <c r="D704" s="5"/>
    </row>
    <row r="705">
      <c r="A705" s="5"/>
      <c r="D705" s="5"/>
    </row>
    <row r="706">
      <c r="A706" s="5"/>
      <c r="D706" s="5"/>
    </row>
    <row r="707">
      <c r="A707" s="5"/>
      <c r="D707" s="5"/>
    </row>
    <row r="708">
      <c r="A708" s="5"/>
      <c r="D708" s="5"/>
    </row>
    <row r="709">
      <c r="A709" s="5"/>
      <c r="D709" s="5"/>
    </row>
    <row r="710">
      <c r="A710" s="5"/>
      <c r="D710" s="5"/>
    </row>
    <row r="711">
      <c r="A711" s="5"/>
      <c r="D711" s="5"/>
    </row>
    <row r="712">
      <c r="A712" s="5"/>
      <c r="D712" s="5"/>
    </row>
    <row r="713">
      <c r="A713" s="5"/>
      <c r="D713" s="5"/>
    </row>
    <row r="714">
      <c r="A714" s="5"/>
      <c r="D714" s="5"/>
    </row>
    <row r="715">
      <c r="A715" s="5"/>
      <c r="D715" s="5"/>
    </row>
    <row r="716">
      <c r="A716" s="5"/>
      <c r="D716" s="5"/>
    </row>
    <row r="717">
      <c r="A717" s="5"/>
      <c r="D717" s="5"/>
    </row>
    <row r="718">
      <c r="A718" s="5"/>
      <c r="D718" s="5"/>
    </row>
    <row r="719">
      <c r="A719" s="5"/>
      <c r="D719" s="5"/>
    </row>
    <row r="720">
      <c r="A720" s="5"/>
      <c r="D720" s="5"/>
    </row>
    <row r="721">
      <c r="A721" s="5"/>
      <c r="D721" s="5"/>
    </row>
    <row r="722">
      <c r="A722" s="5"/>
      <c r="D722" s="5"/>
    </row>
    <row r="723">
      <c r="A723" s="5"/>
      <c r="D723" s="5"/>
    </row>
    <row r="724">
      <c r="A724" s="5"/>
      <c r="D724" s="5"/>
    </row>
    <row r="725">
      <c r="A725" s="5"/>
      <c r="D725" s="5"/>
    </row>
    <row r="726">
      <c r="A726" s="5"/>
      <c r="D726" s="5"/>
    </row>
    <row r="727">
      <c r="A727" s="5"/>
      <c r="D727" s="5"/>
    </row>
    <row r="728">
      <c r="A728" s="5"/>
      <c r="D728" s="5"/>
    </row>
    <row r="729">
      <c r="A729" s="5"/>
      <c r="D729" s="5"/>
    </row>
    <row r="730">
      <c r="A730" s="5"/>
      <c r="D730" s="5"/>
    </row>
    <row r="731">
      <c r="A731" s="5"/>
      <c r="D731" s="5"/>
    </row>
    <row r="732">
      <c r="A732" s="5"/>
      <c r="D732" s="5"/>
    </row>
    <row r="733">
      <c r="A733" s="5"/>
      <c r="D733" s="5"/>
    </row>
    <row r="734">
      <c r="A734" s="5"/>
      <c r="D734" s="5"/>
    </row>
    <row r="735">
      <c r="A735" s="5"/>
      <c r="D735" s="5"/>
    </row>
    <row r="736">
      <c r="A736" s="5"/>
      <c r="D736" s="5"/>
    </row>
    <row r="737">
      <c r="A737" s="5"/>
      <c r="D737" s="5"/>
    </row>
    <row r="738">
      <c r="A738" s="5"/>
      <c r="D738" s="5"/>
    </row>
    <row r="739">
      <c r="A739" s="5"/>
      <c r="D739" s="5"/>
    </row>
    <row r="740">
      <c r="A740" s="5"/>
      <c r="D740" s="5"/>
    </row>
    <row r="741">
      <c r="A741" s="5"/>
      <c r="D741" s="5"/>
    </row>
    <row r="742">
      <c r="A742" s="5"/>
      <c r="D742" s="5"/>
    </row>
    <row r="743">
      <c r="A743" s="5"/>
      <c r="D743" s="5"/>
    </row>
    <row r="744">
      <c r="A744" s="5"/>
      <c r="D744" s="5"/>
    </row>
    <row r="745">
      <c r="A745" s="5"/>
      <c r="D745" s="5"/>
    </row>
    <row r="746">
      <c r="A746" s="5"/>
      <c r="D746" s="5"/>
    </row>
    <row r="747">
      <c r="A747" s="5"/>
      <c r="D747" s="5"/>
    </row>
    <row r="748">
      <c r="A748" s="5"/>
      <c r="D748" s="5"/>
    </row>
    <row r="749">
      <c r="A749" s="5"/>
      <c r="D749" s="5"/>
    </row>
    <row r="750">
      <c r="A750" s="5"/>
      <c r="D750" s="5"/>
    </row>
    <row r="751">
      <c r="A751" s="5"/>
      <c r="D751" s="5"/>
    </row>
    <row r="752">
      <c r="A752" s="5"/>
      <c r="D752" s="5"/>
    </row>
    <row r="753">
      <c r="A753" s="5"/>
      <c r="D753" s="5"/>
    </row>
    <row r="754">
      <c r="A754" s="5"/>
      <c r="D754" s="5"/>
    </row>
    <row r="755">
      <c r="A755" s="5"/>
      <c r="D755" s="5"/>
    </row>
    <row r="756">
      <c r="A756" s="5"/>
      <c r="D756" s="5"/>
    </row>
    <row r="757">
      <c r="A757" s="5"/>
      <c r="D757" s="5"/>
    </row>
    <row r="758">
      <c r="A758" s="5"/>
      <c r="D758" s="5"/>
    </row>
    <row r="759">
      <c r="A759" s="5"/>
      <c r="D759" s="5"/>
    </row>
    <row r="760">
      <c r="A760" s="5"/>
      <c r="D760" s="5"/>
    </row>
    <row r="761">
      <c r="A761" s="5"/>
      <c r="D761" s="5"/>
    </row>
    <row r="762">
      <c r="A762" s="5"/>
      <c r="D762" s="5"/>
    </row>
    <row r="763">
      <c r="A763" s="5"/>
      <c r="D763" s="5"/>
    </row>
    <row r="764">
      <c r="A764" s="5"/>
      <c r="D764" s="5"/>
    </row>
    <row r="765">
      <c r="A765" s="5"/>
      <c r="D765" s="5"/>
    </row>
    <row r="766">
      <c r="A766" s="5"/>
      <c r="D766" s="5"/>
    </row>
    <row r="767">
      <c r="A767" s="5"/>
      <c r="D767" s="5"/>
    </row>
    <row r="768">
      <c r="A768" s="5"/>
      <c r="D768" s="5"/>
    </row>
    <row r="769">
      <c r="A769" s="5"/>
      <c r="D769" s="5"/>
    </row>
    <row r="770">
      <c r="A770" s="5"/>
      <c r="D770" s="5"/>
    </row>
    <row r="771">
      <c r="A771" s="5"/>
      <c r="D771" s="5"/>
    </row>
    <row r="772">
      <c r="A772" s="5"/>
      <c r="D772" s="5"/>
    </row>
    <row r="773">
      <c r="A773" s="5"/>
      <c r="D773" s="5"/>
    </row>
    <row r="774">
      <c r="A774" s="5"/>
      <c r="D774" s="5"/>
    </row>
    <row r="775">
      <c r="A775" s="5"/>
      <c r="D775" s="5"/>
    </row>
    <row r="776">
      <c r="A776" s="5"/>
      <c r="D776" s="5"/>
    </row>
    <row r="777">
      <c r="A777" s="5"/>
      <c r="D777" s="5"/>
    </row>
    <row r="778">
      <c r="A778" s="5"/>
      <c r="D778" s="5"/>
    </row>
    <row r="779">
      <c r="A779" s="5"/>
      <c r="D779" s="5"/>
    </row>
    <row r="780">
      <c r="A780" s="5"/>
      <c r="D780" s="5"/>
    </row>
    <row r="781">
      <c r="A781" s="5"/>
      <c r="D781" s="5"/>
    </row>
    <row r="782">
      <c r="A782" s="5"/>
      <c r="D782" s="5"/>
    </row>
    <row r="783">
      <c r="A783" s="5"/>
      <c r="D783" s="5"/>
    </row>
    <row r="784">
      <c r="A784" s="5"/>
      <c r="D784" s="5"/>
    </row>
    <row r="785">
      <c r="A785" s="5"/>
      <c r="D785" s="5"/>
    </row>
    <row r="786">
      <c r="A786" s="5"/>
      <c r="D786" s="5"/>
    </row>
    <row r="787">
      <c r="A787" s="5"/>
      <c r="D787" s="5"/>
    </row>
    <row r="788">
      <c r="A788" s="5"/>
      <c r="D788" s="5"/>
    </row>
    <row r="789">
      <c r="A789" s="5"/>
      <c r="D789" s="5"/>
    </row>
    <row r="790">
      <c r="A790" s="5"/>
      <c r="D790" s="5"/>
    </row>
    <row r="791">
      <c r="A791" s="5"/>
      <c r="D791" s="5"/>
    </row>
    <row r="792">
      <c r="A792" s="5"/>
      <c r="D792" s="5"/>
    </row>
    <row r="793">
      <c r="A793" s="5"/>
      <c r="D793" s="5"/>
    </row>
    <row r="794">
      <c r="A794" s="5"/>
      <c r="D794" s="5"/>
    </row>
    <row r="795">
      <c r="A795" s="5"/>
      <c r="D795" s="5"/>
    </row>
    <row r="796">
      <c r="A796" s="5"/>
      <c r="D796" s="5"/>
    </row>
    <row r="797">
      <c r="A797" s="5"/>
      <c r="D797" s="5"/>
    </row>
    <row r="798">
      <c r="A798" s="5"/>
      <c r="D798" s="5"/>
    </row>
    <row r="799">
      <c r="A799" s="5"/>
      <c r="D799" s="5"/>
    </row>
    <row r="800">
      <c r="A800" s="5"/>
      <c r="D800" s="5"/>
    </row>
    <row r="801">
      <c r="A801" s="5"/>
      <c r="D801" s="5"/>
    </row>
    <row r="802">
      <c r="A802" s="5"/>
      <c r="D802" s="5"/>
    </row>
    <row r="803">
      <c r="A803" s="5"/>
      <c r="D803" s="5"/>
    </row>
    <row r="804">
      <c r="A804" s="5"/>
      <c r="D804" s="5"/>
    </row>
    <row r="805">
      <c r="A805" s="5"/>
      <c r="D805" s="5"/>
    </row>
    <row r="806">
      <c r="A806" s="5"/>
      <c r="D806" s="5"/>
    </row>
    <row r="807">
      <c r="A807" s="5"/>
      <c r="D807" s="5"/>
    </row>
    <row r="808">
      <c r="A808" s="5"/>
      <c r="D808" s="5"/>
    </row>
    <row r="809">
      <c r="A809" s="5"/>
      <c r="D809" s="5"/>
    </row>
    <row r="810">
      <c r="A810" s="5"/>
      <c r="D810" s="5"/>
    </row>
    <row r="811">
      <c r="A811" s="5"/>
      <c r="D811" s="5"/>
    </row>
    <row r="812">
      <c r="A812" s="5"/>
      <c r="D812" s="5"/>
    </row>
    <row r="813">
      <c r="A813" s="5"/>
      <c r="D813" s="5"/>
    </row>
    <row r="814">
      <c r="A814" s="5"/>
      <c r="D814" s="5"/>
    </row>
    <row r="815">
      <c r="A815" s="5"/>
      <c r="D815" s="5"/>
    </row>
    <row r="816">
      <c r="A816" s="5"/>
      <c r="D816" s="5"/>
    </row>
    <row r="817">
      <c r="A817" s="5"/>
      <c r="D817" s="5"/>
    </row>
    <row r="818">
      <c r="A818" s="5"/>
      <c r="D818" s="5"/>
    </row>
    <row r="819">
      <c r="A819" s="5"/>
      <c r="D819" s="5"/>
    </row>
    <row r="820">
      <c r="A820" s="5"/>
      <c r="D820" s="5"/>
    </row>
    <row r="821">
      <c r="A821" s="5"/>
      <c r="D821" s="5"/>
    </row>
    <row r="822">
      <c r="A822" s="5"/>
      <c r="D822" s="5"/>
    </row>
    <row r="823">
      <c r="A823" s="5"/>
      <c r="D823" s="5"/>
    </row>
    <row r="824">
      <c r="A824" s="5"/>
      <c r="D824" s="5"/>
    </row>
    <row r="825">
      <c r="A825" s="5"/>
      <c r="D825" s="5"/>
    </row>
    <row r="826">
      <c r="A826" s="5"/>
      <c r="D826" s="5"/>
    </row>
    <row r="827">
      <c r="A827" s="5"/>
      <c r="D827" s="5"/>
    </row>
    <row r="828">
      <c r="A828" s="5"/>
      <c r="D828" s="5"/>
    </row>
    <row r="829">
      <c r="A829" s="5"/>
      <c r="D829" s="5"/>
    </row>
    <row r="830">
      <c r="A830" s="5"/>
      <c r="D830" s="5"/>
    </row>
    <row r="831">
      <c r="A831" s="5"/>
      <c r="D831" s="5"/>
    </row>
    <row r="832">
      <c r="A832" s="5"/>
      <c r="D832" s="5"/>
    </row>
    <row r="833">
      <c r="A833" s="5"/>
      <c r="D833" s="5"/>
    </row>
    <row r="834">
      <c r="A834" s="5"/>
      <c r="D834" s="5"/>
    </row>
    <row r="835">
      <c r="A835" s="5"/>
      <c r="D835" s="5"/>
    </row>
    <row r="836">
      <c r="A836" s="5"/>
      <c r="D836" s="5"/>
    </row>
    <row r="837">
      <c r="A837" s="5"/>
      <c r="D837" s="5"/>
    </row>
    <row r="838">
      <c r="A838" s="5"/>
      <c r="D838" s="5"/>
    </row>
    <row r="839">
      <c r="A839" s="5"/>
      <c r="D839" s="5"/>
    </row>
    <row r="840">
      <c r="A840" s="5"/>
      <c r="D840" s="5"/>
    </row>
    <row r="841">
      <c r="A841" s="5"/>
      <c r="D841" s="5"/>
    </row>
    <row r="842">
      <c r="A842" s="5"/>
      <c r="D842" s="5"/>
    </row>
    <row r="843">
      <c r="A843" s="5"/>
      <c r="D843" s="5"/>
    </row>
    <row r="844">
      <c r="A844" s="5"/>
      <c r="D844" s="5"/>
    </row>
    <row r="845">
      <c r="A845" s="5"/>
      <c r="D845" s="5"/>
    </row>
    <row r="846">
      <c r="A846" s="5"/>
      <c r="D846" s="5"/>
    </row>
    <row r="847">
      <c r="A847" s="5"/>
      <c r="D847" s="5"/>
    </row>
    <row r="848">
      <c r="A848" s="5"/>
      <c r="D848" s="5"/>
    </row>
    <row r="849">
      <c r="A849" s="5"/>
      <c r="D849" s="5"/>
    </row>
    <row r="850">
      <c r="A850" s="5"/>
      <c r="D850" s="5"/>
    </row>
    <row r="851">
      <c r="A851" s="5"/>
      <c r="D851" s="5"/>
    </row>
    <row r="852">
      <c r="A852" s="5"/>
      <c r="D852" s="5"/>
    </row>
    <row r="853">
      <c r="A853" s="5"/>
      <c r="D853" s="5"/>
    </row>
    <row r="854">
      <c r="A854" s="5"/>
      <c r="D854" s="5"/>
    </row>
    <row r="855">
      <c r="A855" s="5"/>
      <c r="D855" s="5"/>
    </row>
    <row r="856">
      <c r="A856" s="5"/>
      <c r="D856" s="5"/>
    </row>
    <row r="857">
      <c r="A857" s="5"/>
      <c r="D857" s="5"/>
    </row>
    <row r="858">
      <c r="A858" s="5"/>
      <c r="D858" s="5"/>
    </row>
    <row r="859">
      <c r="A859" s="5"/>
      <c r="D859" s="5"/>
    </row>
    <row r="860">
      <c r="A860" s="5"/>
      <c r="D860" s="5"/>
    </row>
    <row r="861">
      <c r="A861" s="5"/>
      <c r="D861" s="5"/>
    </row>
    <row r="862">
      <c r="A862" s="5"/>
      <c r="D862" s="5"/>
    </row>
    <row r="863">
      <c r="A863" s="5"/>
      <c r="D863" s="5"/>
    </row>
    <row r="864">
      <c r="A864" s="5"/>
      <c r="D864" s="5"/>
    </row>
    <row r="865">
      <c r="A865" s="5"/>
      <c r="D865" s="5"/>
    </row>
    <row r="866">
      <c r="A866" s="5"/>
      <c r="D866" s="5"/>
    </row>
    <row r="867">
      <c r="A867" s="5"/>
      <c r="D867" s="5"/>
    </row>
    <row r="868">
      <c r="A868" s="5"/>
      <c r="D868" s="5"/>
    </row>
    <row r="869">
      <c r="A869" s="5"/>
      <c r="D869" s="5"/>
    </row>
    <row r="870">
      <c r="A870" s="5"/>
      <c r="D870" s="5"/>
    </row>
    <row r="871">
      <c r="A871" s="5"/>
      <c r="D871" s="5"/>
    </row>
    <row r="872">
      <c r="A872" s="5"/>
      <c r="D872" s="5"/>
    </row>
    <row r="873">
      <c r="A873" s="5"/>
      <c r="D873" s="5"/>
    </row>
    <row r="874">
      <c r="A874" s="5"/>
      <c r="D874" s="5"/>
    </row>
    <row r="875">
      <c r="A875" s="5"/>
      <c r="D875" s="5"/>
    </row>
    <row r="876">
      <c r="A876" s="5"/>
      <c r="D876" s="5"/>
    </row>
    <row r="877">
      <c r="A877" s="5"/>
      <c r="D877" s="5"/>
    </row>
    <row r="878">
      <c r="A878" s="5"/>
      <c r="D878" s="5"/>
    </row>
    <row r="879">
      <c r="A879" s="5"/>
      <c r="D879" s="5"/>
    </row>
    <row r="880">
      <c r="A880" s="5"/>
      <c r="D880" s="5"/>
    </row>
    <row r="881">
      <c r="A881" s="5"/>
      <c r="D881" s="5"/>
    </row>
    <row r="882">
      <c r="A882" s="5"/>
      <c r="D882" s="5"/>
    </row>
    <row r="883">
      <c r="A883" s="5"/>
      <c r="D883" s="5"/>
    </row>
    <row r="884">
      <c r="A884" s="5"/>
      <c r="D884" s="5"/>
    </row>
    <row r="885">
      <c r="A885" s="5"/>
      <c r="D885" s="5"/>
    </row>
    <row r="886">
      <c r="A886" s="5"/>
      <c r="D886" s="5"/>
    </row>
    <row r="887">
      <c r="A887" s="5"/>
      <c r="D887" s="5"/>
    </row>
    <row r="888">
      <c r="A888" s="5"/>
      <c r="D888" s="5"/>
    </row>
    <row r="889">
      <c r="A889" s="5"/>
      <c r="D889" s="5"/>
    </row>
    <row r="890">
      <c r="A890" s="5"/>
      <c r="D890" s="5"/>
    </row>
    <row r="891">
      <c r="A891" s="5"/>
      <c r="D891" s="5"/>
    </row>
    <row r="892">
      <c r="A892" s="5"/>
      <c r="D892" s="5"/>
    </row>
    <row r="893">
      <c r="A893" s="5"/>
      <c r="D893" s="5"/>
    </row>
    <row r="894">
      <c r="A894" s="5"/>
      <c r="D894" s="5"/>
    </row>
    <row r="895">
      <c r="A895" s="5"/>
      <c r="D895" s="5"/>
    </row>
    <row r="896">
      <c r="A896" s="5"/>
      <c r="D896" s="5"/>
    </row>
    <row r="897">
      <c r="A897" s="5"/>
      <c r="D897" s="5"/>
    </row>
    <row r="898">
      <c r="A898" s="5"/>
      <c r="D898" s="5"/>
    </row>
    <row r="899">
      <c r="A899" s="5"/>
      <c r="D899" s="5"/>
    </row>
    <row r="900">
      <c r="A900" s="5"/>
      <c r="D900" s="5"/>
    </row>
    <row r="901">
      <c r="A901" s="5"/>
      <c r="D901" s="5"/>
    </row>
    <row r="902">
      <c r="A902" s="5"/>
      <c r="D902" s="5"/>
    </row>
    <row r="903">
      <c r="A903" s="5"/>
      <c r="D903" s="5"/>
    </row>
    <row r="904">
      <c r="A904" s="5"/>
      <c r="D904" s="5"/>
    </row>
    <row r="905">
      <c r="A905" s="5"/>
      <c r="D905" s="5"/>
    </row>
    <row r="906">
      <c r="A906" s="5"/>
      <c r="D906" s="5"/>
    </row>
    <row r="907">
      <c r="A907" s="5"/>
      <c r="D907" s="5"/>
    </row>
    <row r="908">
      <c r="A908" s="5"/>
      <c r="D908" s="5"/>
    </row>
    <row r="909">
      <c r="A909" s="5"/>
      <c r="D909" s="5"/>
    </row>
    <row r="910">
      <c r="A910" s="5"/>
      <c r="D910" s="5"/>
    </row>
    <row r="911">
      <c r="A911" s="5"/>
      <c r="D911" s="5"/>
    </row>
    <row r="912">
      <c r="A912" s="5"/>
      <c r="D912" s="5"/>
    </row>
    <row r="913">
      <c r="A913" s="5"/>
      <c r="D913" s="5"/>
    </row>
    <row r="914">
      <c r="A914" s="5"/>
      <c r="D914" s="5"/>
    </row>
    <row r="915">
      <c r="A915" s="5"/>
      <c r="D915" s="5"/>
    </row>
    <row r="916">
      <c r="A916" s="5"/>
      <c r="D916" s="5"/>
    </row>
    <row r="917">
      <c r="A917" s="5"/>
      <c r="D917" s="5"/>
    </row>
    <row r="918">
      <c r="A918" s="5"/>
      <c r="D918" s="5"/>
    </row>
    <row r="919">
      <c r="A919" s="5"/>
      <c r="D919" s="5"/>
    </row>
    <row r="920">
      <c r="A920" s="5"/>
      <c r="D920" s="5"/>
    </row>
    <row r="921">
      <c r="A921" s="5"/>
      <c r="D921" s="5"/>
    </row>
    <row r="922">
      <c r="A922" s="5"/>
      <c r="D922" s="5"/>
    </row>
    <row r="923">
      <c r="A923" s="5"/>
      <c r="D923" s="5"/>
    </row>
    <row r="924">
      <c r="A924" s="5"/>
      <c r="D924" s="5"/>
    </row>
    <row r="925">
      <c r="A925" s="5"/>
      <c r="D925" s="5"/>
    </row>
    <row r="926">
      <c r="A926" s="5"/>
      <c r="D926" s="5"/>
    </row>
    <row r="927">
      <c r="A927" s="5"/>
      <c r="D927" s="5"/>
    </row>
    <row r="928">
      <c r="A928" s="5"/>
      <c r="D928" s="5"/>
    </row>
    <row r="929">
      <c r="A929" s="5"/>
      <c r="D929" s="5"/>
    </row>
    <row r="930">
      <c r="A930" s="5"/>
      <c r="D930" s="5"/>
    </row>
    <row r="931">
      <c r="A931" s="5"/>
      <c r="D931" s="5"/>
    </row>
    <row r="932">
      <c r="A932" s="5"/>
      <c r="D932" s="5"/>
    </row>
    <row r="933">
      <c r="A933" s="5"/>
      <c r="D933" s="5"/>
    </row>
    <row r="934">
      <c r="A934" s="5"/>
      <c r="D934" s="5"/>
    </row>
    <row r="935">
      <c r="A935" s="5"/>
      <c r="D935" s="5"/>
    </row>
    <row r="936">
      <c r="A936" s="5"/>
      <c r="D936" s="5"/>
    </row>
    <row r="937">
      <c r="A937" s="5"/>
      <c r="D937" s="5"/>
    </row>
    <row r="938">
      <c r="A938" s="5"/>
      <c r="D938" s="5"/>
    </row>
    <row r="939">
      <c r="A939" s="5"/>
      <c r="D939" s="5"/>
    </row>
    <row r="940">
      <c r="A940" s="5"/>
      <c r="D940" s="5"/>
    </row>
    <row r="941">
      <c r="A941" s="5"/>
      <c r="D941" s="5"/>
    </row>
    <row r="942">
      <c r="A942" s="5"/>
      <c r="D942" s="5"/>
    </row>
    <row r="943">
      <c r="A943" s="5"/>
      <c r="D943" s="5"/>
    </row>
    <row r="944">
      <c r="A944" s="5"/>
      <c r="D944" s="5"/>
    </row>
    <row r="945">
      <c r="A945" s="5"/>
      <c r="D945" s="5"/>
    </row>
    <row r="946">
      <c r="A946" s="5"/>
      <c r="D946" s="5"/>
    </row>
    <row r="947">
      <c r="A947" s="5"/>
      <c r="D947" s="5"/>
    </row>
    <row r="948">
      <c r="A948" s="5"/>
      <c r="D948" s="5"/>
    </row>
    <row r="949">
      <c r="A949" s="5"/>
      <c r="D949" s="5"/>
    </row>
    <row r="950">
      <c r="A950" s="5"/>
      <c r="D950" s="5"/>
    </row>
    <row r="951">
      <c r="A951" s="5"/>
      <c r="D951" s="5"/>
    </row>
    <row r="952">
      <c r="A952" s="5"/>
      <c r="D952" s="5"/>
    </row>
    <row r="953">
      <c r="A953" s="5"/>
      <c r="D953" s="5"/>
    </row>
    <row r="954">
      <c r="A954" s="5"/>
      <c r="D954" s="5"/>
    </row>
    <row r="955">
      <c r="A955" s="5"/>
      <c r="D955" s="5"/>
    </row>
    <row r="956">
      <c r="A956" s="5"/>
      <c r="D956" s="5"/>
    </row>
    <row r="957">
      <c r="A957" s="5"/>
      <c r="D957" s="5"/>
    </row>
    <row r="958">
      <c r="A958" s="5"/>
      <c r="D958" s="5"/>
    </row>
    <row r="959">
      <c r="A959" s="5"/>
      <c r="D959" s="5"/>
    </row>
    <row r="960">
      <c r="A960" s="5"/>
      <c r="D960" s="5"/>
    </row>
    <row r="961">
      <c r="A961" s="5"/>
      <c r="D961" s="5"/>
    </row>
    <row r="962">
      <c r="A962" s="5"/>
      <c r="D962" s="5"/>
    </row>
    <row r="963">
      <c r="A963" s="5"/>
      <c r="D963" s="5"/>
    </row>
    <row r="964">
      <c r="A964" s="5"/>
      <c r="D964" s="5"/>
    </row>
    <row r="965">
      <c r="A965" s="5"/>
      <c r="D965" s="5"/>
    </row>
    <row r="966">
      <c r="A966" s="5"/>
      <c r="D966" s="5"/>
    </row>
    <row r="967">
      <c r="A967" s="5"/>
      <c r="D967" s="5"/>
    </row>
    <row r="968">
      <c r="A968" s="5"/>
      <c r="D968" s="5"/>
    </row>
    <row r="969">
      <c r="A969" s="5"/>
      <c r="D969" s="5"/>
    </row>
    <row r="970">
      <c r="A970" s="5"/>
      <c r="D970" s="5"/>
    </row>
    <row r="971">
      <c r="A971" s="5"/>
      <c r="D971" s="5"/>
    </row>
    <row r="972">
      <c r="A972" s="5"/>
      <c r="D972" s="5"/>
    </row>
    <row r="973">
      <c r="A973" s="5"/>
      <c r="D973" s="5"/>
    </row>
    <row r="974">
      <c r="A974" s="5"/>
      <c r="D974" s="5"/>
    </row>
    <row r="975">
      <c r="A975" s="5"/>
      <c r="D975" s="5"/>
    </row>
    <row r="976">
      <c r="A976" s="5"/>
      <c r="D976" s="5"/>
    </row>
    <row r="977">
      <c r="A977" s="5"/>
      <c r="D977" s="5"/>
    </row>
    <row r="978">
      <c r="A978" s="5"/>
      <c r="D978" s="5"/>
    </row>
    <row r="979">
      <c r="A979" s="5"/>
      <c r="D979" s="5"/>
    </row>
    <row r="980">
      <c r="A980" s="5"/>
      <c r="D980" s="5"/>
    </row>
    <row r="981">
      <c r="A981" s="5"/>
      <c r="D981" s="5"/>
    </row>
    <row r="982">
      <c r="A982" s="5"/>
      <c r="D982" s="5"/>
    </row>
    <row r="983">
      <c r="A983" s="5"/>
      <c r="D983" s="5"/>
    </row>
    <row r="984">
      <c r="A984" s="5"/>
      <c r="D984" s="5"/>
    </row>
    <row r="985">
      <c r="A985" s="5"/>
      <c r="D985" s="5"/>
    </row>
    <row r="986">
      <c r="A986" s="5"/>
      <c r="D986" s="5"/>
    </row>
    <row r="987">
      <c r="A987" s="5"/>
      <c r="D987" s="5"/>
    </row>
    <row r="988">
      <c r="A988" s="5"/>
      <c r="D988" s="5"/>
    </row>
    <row r="989">
      <c r="A989" s="5"/>
      <c r="D989" s="5"/>
    </row>
    <row r="990">
      <c r="A990" s="5"/>
      <c r="D990" s="5"/>
    </row>
    <row r="991">
      <c r="A991" s="5"/>
      <c r="D991" s="5"/>
    </row>
    <row r="992">
      <c r="A992" s="5"/>
      <c r="D992" s="5"/>
    </row>
    <row r="993">
      <c r="A993" s="5"/>
      <c r="D993" s="5"/>
    </row>
    <row r="994">
      <c r="A994" s="5"/>
      <c r="D994" s="5"/>
    </row>
    <row r="995">
      <c r="A995" s="5"/>
      <c r="D995" s="5"/>
    </row>
    <row r="996">
      <c r="A996" s="5"/>
      <c r="D996" s="5"/>
    </row>
    <row r="997">
      <c r="A997" s="5"/>
      <c r="D997" s="5"/>
    </row>
    <row r="998">
      <c r="A998" s="5"/>
      <c r="D998" s="5"/>
    </row>
    <row r="999">
      <c r="A999" s="5"/>
      <c r="D999" s="5"/>
    </row>
    <row r="1000">
      <c r="A1000" s="5"/>
      <c r="D1000" s="5"/>
    </row>
  </sheetData>
  <dataValidations>
    <dataValidation type="list" allowBlank="1" showErrorMessage="1" sqref="A19:A1000">
      <formula1>"NA,Alamin,SpiralCon,umarjamal,furiouslytech,jerryjhlee,krishnagangwal,itsztales,sujartech,johncorbett,matebreton,jakemok.io,David Chen,jackk_flick,ai.veerse,jonesyslifestyle,pirknn,ssssafin,vizzystudies,the agi guide,basunverse,cindiezhu,chase_enloe"</formula1>
    </dataValidation>
    <dataValidation type="list" allowBlank="1" showErrorMessage="1" sqref="D2:E24 D25:D1000">
      <formula1>"NA,No,Yes"</formula1>
    </dataValidation>
    <dataValidation type="list" allowBlank="1" showErrorMessage="1" sqref="C2:C24">
      <formula1>"NA,No,Yes"</formula1>
    </dataValidation>
    <dataValidation type="list" allowBlank="1" showErrorMessage="1" sqref="A2:A18">
      <formula1>"B,Alamin,SpiralCon,umarjamal,furiouslytech,jerryjhlee,krishnagangwal,itsztales,sujartech,johncorbett,matebreton,jakemok.io,David Chen,jackk_flick,ai.veerse,jonesyslifestyle,pirknn,ssssafin"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A12"/>
    <hyperlink r:id="rId12" ref="F12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</hyperlinks>
  <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4.5"/>
    <col customWidth="1" min="3" max="3" width="33.0"/>
    <col customWidth="1" min="4" max="7" width="14.5"/>
    <col customWidth="1" min="8" max="8" width="15.88"/>
    <col customWidth="1" min="9" max="9" width="16.63"/>
    <col customWidth="1" min="10" max="27" width="14.5"/>
  </cols>
  <sheetData>
    <row r="1">
      <c r="A1" s="1" t="s">
        <v>0</v>
      </c>
      <c r="B1" s="1" t="s">
        <v>2</v>
      </c>
      <c r="C1" s="1" t="s">
        <v>4</v>
      </c>
      <c r="D1" s="1" t="s">
        <v>7</v>
      </c>
      <c r="E1" s="1" t="s">
        <v>10</v>
      </c>
      <c r="F1" s="1" t="s">
        <v>12</v>
      </c>
      <c r="G1" s="1" t="s">
        <v>15</v>
      </c>
      <c r="H1" s="1" t="s">
        <v>3</v>
      </c>
      <c r="I1" s="1" t="s">
        <v>16</v>
      </c>
      <c r="J1" s="1" t="s">
        <v>17</v>
      </c>
      <c r="K1" s="1" t="s">
        <v>5</v>
      </c>
      <c r="L1" s="1" t="s">
        <v>20</v>
      </c>
      <c r="N1" s="1" t="s">
        <v>21</v>
      </c>
      <c r="O1" s="1" t="s">
        <v>23</v>
      </c>
    </row>
    <row r="2">
      <c r="A2" s="1" t="s">
        <v>26</v>
      </c>
      <c r="B2" s="1" t="s">
        <v>30</v>
      </c>
      <c r="C2" s="1" t="s">
        <v>31</v>
      </c>
      <c r="D2" s="3" t="s">
        <v>34</v>
      </c>
      <c r="E2" s="1">
        <v>0.0</v>
      </c>
      <c r="F2" s="1">
        <v>2.0</v>
      </c>
      <c r="G2" s="2" t="s">
        <v>29</v>
      </c>
      <c r="I2" s="5" t="str">
        <f>IFERROR(__xludf.DUMMYFUNCTION("IF(C2="""","""",LOWER(TRIM(REGEXREPLACE(C2,""[^A-Za-z0-9 ]"",""""))))"),"deloitte")</f>
        <v>deloitte</v>
      </c>
      <c r="J2" s="6" t="str">
        <f>IFERROR(__xludf.DUMMYFUNCTION("IF(G2="""","""",LOWER(REGEXREPLACE(REGEXREPLACE(REGEXREPLACE(G2,""^https?://"",""""),""[?#].*$"",""""),""/+$"","""")))"),"theforage.com/simulations/deloitte-au/data-analytics-s5zy")</f>
        <v>theforage.com/simulations/deloitte-au/data-analytics-s5zy</v>
      </c>
      <c r="L2" s="7" t="s">
        <v>39</v>
      </c>
    </row>
    <row r="3">
      <c r="A3" s="1" t="s">
        <v>26</v>
      </c>
      <c r="B3" s="1" t="s">
        <v>30</v>
      </c>
      <c r="C3" s="1" t="s">
        <v>41</v>
      </c>
      <c r="D3" s="3" t="s">
        <v>27</v>
      </c>
      <c r="E3" s="1">
        <v>0.0</v>
      </c>
      <c r="G3" s="2" t="s">
        <v>42</v>
      </c>
      <c r="I3" s="5" t="str">
        <f>IFERROR(__xludf.DUMMYFUNCTION("IF(C3="""","""",LOWER(TRIM(REGEXREPLACE(C3,""[^A-Za-z0-9 ]"",""""))))"),"google advanced data analytics")</f>
        <v>google advanced data analytics</v>
      </c>
      <c r="J3" s="6" t="str">
        <f>IFERROR(__xludf.DUMMYFUNCTION("IF(G3="""","""",LOWER(REGEXREPLACE(REGEXREPLACE(REGEXREPLACE(G3,""^https?://"",""""),""[?#].*$"",""""),""/+$"","""")))"),"www.coursera.org/professional-certificates/google-advanced-data-analytics")</f>
        <v>www.coursera.org/professional-certificates/google-advanced-data-analytics</v>
      </c>
      <c r="L3" s="7" t="s">
        <v>39</v>
      </c>
    </row>
    <row r="4">
      <c r="A4" s="1" t="s">
        <v>26</v>
      </c>
      <c r="B4" s="1" t="s">
        <v>30</v>
      </c>
      <c r="C4" s="1" t="s">
        <v>49</v>
      </c>
      <c r="D4" s="3" t="s">
        <v>27</v>
      </c>
      <c r="E4" s="1">
        <v>0.0</v>
      </c>
      <c r="G4" s="2" t="s">
        <v>50</v>
      </c>
      <c r="I4" s="5" t="str">
        <f>IFERROR(__xludf.DUMMYFUNCTION("IF(C4="""","""",LOWER(TRIM(REGEXREPLACE(C4,""[^A-Za-z0-9 ]"",""""))))"),"google cybersecurity")</f>
        <v>google cybersecurity</v>
      </c>
      <c r="J4" s="6" t="str">
        <f>IFERROR(__xludf.DUMMYFUNCTION("IF(G4="""","""",LOWER(REGEXREPLACE(REGEXREPLACE(REGEXREPLACE(G4,""^https?://"",""""),""[?#].*$"",""""),""/+$"","""")))"),"www.coursera.org/professional-certificates/google-cybersecurity")</f>
        <v>www.coursera.org/professional-certificates/google-cybersecurity</v>
      </c>
      <c r="L4" s="7" t="s">
        <v>39</v>
      </c>
    </row>
    <row r="5">
      <c r="A5" s="1" t="s">
        <v>26</v>
      </c>
      <c r="B5" s="1" t="s">
        <v>30</v>
      </c>
      <c r="C5" s="1" t="s">
        <v>55</v>
      </c>
      <c r="D5" s="3" t="s">
        <v>27</v>
      </c>
      <c r="E5" s="1">
        <v>0.0</v>
      </c>
      <c r="G5" s="2" t="s">
        <v>56</v>
      </c>
      <c r="I5" s="5" t="str">
        <f>IFERROR(__xludf.DUMMYFUNCTION("IF(C5="""","""",LOWER(TRIM(REGEXREPLACE(C5,""[^A-Za-z0-9 ]"",""""))))"),"google cloud certified generative ai leader")</f>
        <v>google cloud certified generative ai leader</v>
      </c>
      <c r="J5" s="6" t="str">
        <f>IFERROR(__xludf.DUMMYFUNCTION("IF(G5="""","""",LOWER(REGEXREPLACE(REGEXREPLACE(REGEXREPLACE(G5,""^https?://"",""""),""[?#].*$"",""""),""/+$"","""")))"),"cloud.google.com/learn/certification/generative-ai-leader")</f>
        <v>cloud.google.com/learn/certification/generative-ai-leader</v>
      </c>
      <c r="L5" s="7" t="s">
        <v>39</v>
      </c>
    </row>
    <row r="6">
      <c r="A6" s="1" t="s">
        <v>26</v>
      </c>
      <c r="B6" s="1" t="s">
        <v>30</v>
      </c>
      <c r="C6" s="1" t="s">
        <v>62</v>
      </c>
      <c r="D6" s="3" t="s">
        <v>27</v>
      </c>
      <c r="E6" s="1">
        <v>0.0</v>
      </c>
      <c r="G6" s="2" t="s">
        <v>63</v>
      </c>
      <c r="I6" s="5" t="str">
        <f>IFERROR(__xludf.DUMMYFUNCTION("IF(C6="""","""",LOWER(TRIM(REGEXREPLACE(C6,""[^A-Za-z0-9 ]"",""""))))"),"google crash course on python")</f>
        <v>google crash course on python</v>
      </c>
      <c r="J6" s="6" t="str">
        <f>IFERROR(__xludf.DUMMYFUNCTION("IF(G6="""","""",LOWER(REGEXREPLACE(REGEXREPLACE(REGEXREPLACE(G6,""^https?://"",""""),""[?#].*$"",""""),""/+$"","""")))"),"www.coursera.org/professional-certificates/google-it-automation")</f>
        <v>www.coursera.org/professional-certificates/google-it-automation</v>
      </c>
      <c r="L6" s="7" t="s">
        <v>39</v>
      </c>
    </row>
    <row r="7">
      <c r="A7" s="1" t="s">
        <v>26</v>
      </c>
      <c r="B7" s="1" t="s">
        <v>59</v>
      </c>
      <c r="C7" s="1" t="s">
        <v>68</v>
      </c>
      <c r="D7" s="3" t="s">
        <v>27</v>
      </c>
      <c r="E7" s="1">
        <v>0.0</v>
      </c>
      <c r="G7" s="2" t="s">
        <v>69</v>
      </c>
      <c r="I7" s="5" t="str">
        <f>IFERROR(__xludf.DUMMYFUNCTION("IF(C7="""","""",LOWER(TRIM(REGEXREPLACE(C7,""[^A-Za-z0-9 ]"",""""))))"),"introduction to generative ai")</f>
        <v>introduction to generative ai</v>
      </c>
      <c r="J7" s="6" t="str">
        <f>IFERROR(__xludf.DUMMYFUNCTION("IF(G7="""","""",LOWER(REGEXREPLACE(REGEXREPLACE(REGEXREPLACE(G7,""^https?://"",""""),""[?#].*$"",""""),""/+$"","""")))"),"www.coursera.org/learn/introduction-to-generative-ai")</f>
        <v>www.coursera.org/learn/introduction-to-generative-ai</v>
      </c>
      <c r="L7" s="7" t="s">
        <v>39</v>
      </c>
    </row>
    <row r="8">
      <c r="A8" s="1" t="s">
        <v>26</v>
      </c>
      <c r="B8" s="1" t="s">
        <v>30</v>
      </c>
      <c r="C8" s="1" t="s">
        <v>72</v>
      </c>
      <c r="D8" s="3" t="s">
        <v>27</v>
      </c>
      <c r="E8" s="1">
        <v>0.0</v>
      </c>
      <c r="G8" s="2" t="s">
        <v>73</v>
      </c>
      <c r="I8" s="5" t="str">
        <f>IFERROR(__xludf.DUMMYFUNCTION("IF(C8="""","""",LOWER(TRIM(REGEXREPLACE(C8,""[^A-Za-z0-9 ]"",""""))))"),"agile project management")</f>
        <v>agile project management</v>
      </c>
      <c r="J8" s="6" t="str">
        <f>IFERROR(__xludf.DUMMYFUNCTION("IF(G8="""","""",LOWER(REGEXREPLACE(REGEXREPLACE(REGEXREPLACE(G8,""^https?://"",""""),""[?#].*$"",""""),""/+$"","""")))"),"www.coursera.org/learn/agile-project-management")</f>
        <v>www.coursera.org/learn/agile-project-management</v>
      </c>
      <c r="L8" s="7" t="s">
        <v>39</v>
      </c>
    </row>
    <row r="9">
      <c r="A9" s="1" t="s">
        <v>26</v>
      </c>
      <c r="B9" s="1" t="s">
        <v>59</v>
      </c>
      <c r="C9" s="1" t="s">
        <v>79</v>
      </c>
      <c r="D9" s="3" t="s">
        <v>27</v>
      </c>
      <c r="E9" s="1">
        <v>0.0</v>
      </c>
      <c r="G9" s="2" t="s">
        <v>80</v>
      </c>
      <c r="I9" s="5" t="str">
        <f>IFERROR(__xludf.DUMMYFUNCTION("IF(C9="""","""",LOWER(TRIM(REGEXREPLACE(C9,""[^A-Za-z0-9 ]"",""""))))"),"google ai essentials")</f>
        <v>google ai essentials</v>
      </c>
      <c r="J9" s="6" t="str">
        <f>IFERROR(__xludf.DUMMYFUNCTION("IF(G9="""","""",LOWER(REGEXREPLACE(REGEXREPLACE(REGEXREPLACE(G9,""^https?://"",""""),""[?#].*$"",""""),""/+$"","""")))"),"www.coursera.org/learn/google-ai-essentials")</f>
        <v>www.coursera.org/learn/google-ai-essentials</v>
      </c>
      <c r="L9" s="7" t="s">
        <v>39</v>
      </c>
    </row>
    <row r="10">
      <c r="A10" s="1" t="s">
        <v>26</v>
      </c>
      <c r="B10" s="1" t="s">
        <v>85</v>
      </c>
      <c r="C10" s="1" t="s">
        <v>86</v>
      </c>
      <c r="D10" s="3" t="s">
        <v>43</v>
      </c>
      <c r="E10" s="1">
        <v>0.0</v>
      </c>
      <c r="G10" s="8" t="s">
        <v>87</v>
      </c>
      <c r="I10" s="5" t="str">
        <f>IFERROR(__xludf.DUMMYFUNCTION("IF(C10="""","""",LOWER(TRIM(REGEXREPLACE(C10,""[^A-Za-z0-9 ]"",""""))))"),"kaggle intro to machine course")</f>
        <v>kaggle intro to machine course</v>
      </c>
      <c r="J10" s="6" t="str">
        <f>IFERROR(__xludf.DUMMYFUNCTION("IF(G10="""","""",LOWER(REGEXREPLACE(REGEXREPLACE(REGEXREPLACE(G10,""^https?://"",""""),""[?#].*$"",""""),""/+$"","""")))"),"www.kaggle.com/learn/intro-to-machine-learning")</f>
        <v>www.kaggle.com/learn/intro-to-machine-learning</v>
      </c>
      <c r="L10" s="7" t="s">
        <v>39</v>
      </c>
    </row>
    <row r="11">
      <c r="A11" s="1" t="s">
        <v>26</v>
      </c>
      <c r="B11" s="5"/>
      <c r="C11" s="1" t="s">
        <v>97</v>
      </c>
      <c r="D11" s="3" t="s">
        <v>40</v>
      </c>
      <c r="E11" s="1">
        <v>0.0</v>
      </c>
      <c r="F11" s="1">
        <v>4.0</v>
      </c>
      <c r="G11" s="2" t="s">
        <v>98</v>
      </c>
      <c r="I11" s="5" t="str">
        <f>IFERROR(__xludf.DUMMYFUNCTION("IF(C11="""","""",LOWER(TRIM(REGEXREPLACE(C11,""[^A-Za-z0-9 ]"",""""))))"),"kpmg audit")</f>
        <v>kpmg audit</v>
      </c>
      <c r="J11" s="6" t="str">
        <f>IFERROR(__xludf.DUMMYFUNCTION("IF(G11="""","""",LOWER(REGEXREPLACE(REGEXREPLACE(REGEXREPLACE(G11,""^https?://"",""""),""[?#].*$"",""""),""/+$"","""")))"),"www.theforage.com/simulations/kpmg-ca/auditassurance-el6n")</f>
        <v>www.theforage.com/simulations/kpmg-ca/auditassurance-el6n</v>
      </c>
      <c r="L11" s="7" t="s">
        <v>39</v>
      </c>
    </row>
    <row r="12">
      <c r="A12" s="1" t="s">
        <v>26</v>
      </c>
      <c r="B12" s="5"/>
      <c r="C12" s="1" t="s">
        <v>114</v>
      </c>
      <c r="D12" s="3" t="s">
        <v>40</v>
      </c>
      <c r="E12" s="1">
        <v>0.0</v>
      </c>
      <c r="F12" s="1">
        <v>5.0</v>
      </c>
      <c r="G12" s="2" t="s">
        <v>115</v>
      </c>
      <c r="I12" s="5" t="str">
        <f>IFERROR(__xludf.DUMMYFUNCTION("IF(C12="""","""",LOWER(TRIM(REGEXREPLACE(C12,""[^A-Za-z0-9 ]"",""""))))"),"pwc audit")</f>
        <v>pwc audit</v>
      </c>
      <c r="J12" s="6" t="str">
        <f>IFERROR(__xludf.DUMMYFUNCTION("IF(G12="""","""",LOWER(REGEXREPLACE(REGEXREPLACE(REGEXREPLACE(G12,""^https?://"",""""),""[?#].*$"",""""),""/+$"","""")))"),"www.theforage.com/simulations/pwc-us/audit-w3fr")</f>
        <v>www.theforage.com/simulations/pwc-us/audit-w3fr</v>
      </c>
      <c r="L12" s="7" t="s">
        <v>39</v>
      </c>
    </row>
    <row r="13">
      <c r="A13" s="1" t="s">
        <v>26</v>
      </c>
      <c r="B13" s="5"/>
      <c r="C13" s="1" t="s">
        <v>105</v>
      </c>
      <c r="D13" s="3" t="s">
        <v>40</v>
      </c>
      <c r="E13" s="1">
        <v>0.0</v>
      </c>
      <c r="F13" s="1">
        <v>5.0</v>
      </c>
      <c r="G13" s="2" t="s">
        <v>109</v>
      </c>
      <c r="I13" s="5" t="str">
        <f>IFERROR(__xludf.DUMMYFUNCTION("IF(C13="""","""",LOWER(TRIM(REGEXREPLACE(C13,""[^A-Za-z0-9 ]"",""""))))"),"ey audit")</f>
        <v>ey audit</v>
      </c>
      <c r="J13" s="6" t="str">
        <f>IFERROR(__xludf.DUMMYFUNCTION("IF(G13="""","""",LOWER(REGEXREPLACE(REGEXREPLACE(REGEXREPLACE(G13,""^https?://"",""""),""[?#].*$"",""""),""/+$"","""")))"),"www.theforage.com/simulations/ey/audit-k5kl")</f>
        <v>www.theforage.com/simulations/ey/audit-k5kl</v>
      </c>
      <c r="L13" s="7" t="s">
        <v>39</v>
      </c>
    </row>
    <row r="14">
      <c r="A14" s="1" t="s">
        <v>26</v>
      </c>
      <c r="B14" s="5"/>
      <c r="C14" s="1" t="s">
        <v>111</v>
      </c>
      <c r="D14" s="1" t="s">
        <v>40</v>
      </c>
      <c r="E14" s="1">
        <v>0.0</v>
      </c>
      <c r="F14" s="1">
        <v>5.0</v>
      </c>
      <c r="G14" s="2" t="s">
        <v>113</v>
      </c>
      <c r="I14" s="5" t="str">
        <f>IFERROR(__xludf.DUMMYFUNCTION("IF(C14="""","""",LOWER(TRIM(REGEXREPLACE(C14,""[^A-Za-z0-9 ]"",""""))))"),"ey technology risk")</f>
        <v>ey technology risk</v>
      </c>
      <c r="J14" s="6" t="str">
        <f>IFERROR(__xludf.DUMMYFUNCTION("IF(G14="""","""",LOWER(REGEXREPLACE(REGEXREPLACE(REGEXREPLACE(G14,""^https?://"",""""),""[?#].*$"",""""),""/+$"","""")))"),"www.theforage.com/simulations/ey/technology-risk-ydqh")</f>
        <v>www.theforage.com/simulations/ey/technology-risk-ydqh</v>
      </c>
      <c r="L14" s="7" t="s">
        <v>39</v>
      </c>
    </row>
    <row r="15">
      <c r="A15" s="1"/>
      <c r="B15" s="5"/>
      <c r="C15" s="1" t="s">
        <v>131</v>
      </c>
      <c r="D15" s="1" t="s">
        <v>40</v>
      </c>
      <c r="E15" s="1">
        <v>0.0</v>
      </c>
      <c r="F15" s="1">
        <v>4.0</v>
      </c>
      <c r="G15" s="2" t="s">
        <v>132</v>
      </c>
      <c r="I15" s="5" t="str">
        <f>IFERROR(__xludf.DUMMYFUNCTION("IF(C15="""","""",LOWER(TRIM(REGEXREPLACE(C15,""[^A-Za-z0-9 ]"",""""))))"),"deloitte data analyst")</f>
        <v>deloitte data analyst</v>
      </c>
      <c r="J15" s="6" t="str">
        <f>IFERROR(__xludf.DUMMYFUNCTION("IF(G15="""","""",LOWER(REGEXREPLACE(REGEXREPLACE(REGEXREPLACE(G15,""^https?://"",""""),""[?#].*$"",""""),""/+$"","""")))"),"www.theforage.com/simulations/deloitte-au/dataanalytics-s5zy")</f>
        <v>www.theforage.com/simulations/deloitte-au/dataanalytics-s5zy</v>
      </c>
      <c r="L15" s="7" t="s">
        <v>39</v>
      </c>
    </row>
    <row r="16">
      <c r="A16" s="1"/>
      <c r="B16" s="5"/>
      <c r="C16" s="1" t="s">
        <v>136</v>
      </c>
      <c r="D16" s="1" t="s">
        <v>40</v>
      </c>
      <c r="E16" s="1">
        <v>0.0</v>
      </c>
      <c r="F16" s="1">
        <v>5.0</v>
      </c>
      <c r="G16" s="2" t="s">
        <v>137</v>
      </c>
      <c r="I16" s="5" t="str">
        <f>IFERROR(__xludf.DUMMYFUNCTION("IF(C16="""","""",LOWER(TRIM(REGEXREPLACE(C16,""[^A-Za-z0-9 ]"",""""))))"),"kpmg tax professional")</f>
        <v>kpmg tax professional</v>
      </c>
      <c r="J16" s="6" t="str">
        <f>IFERROR(__xludf.DUMMYFUNCTION("IF(G16="""","""",LOWER(REGEXREPLACE(REGEXREPLACE(REGEXREPLACE(G16,""^https?://"",""""),""[?#].*$"",""""),""/+$"","""")))"),"www.theforage.com/simulations/kpmg-ca/tax-m4t0")</f>
        <v>www.theforage.com/simulations/kpmg-ca/tax-m4t0</v>
      </c>
      <c r="L16" s="7" t="s">
        <v>39</v>
      </c>
    </row>
    <row r="17">
      <c r="A17" s="1"/>
      <c r="B17" s="5"/>
      <c r="C17" s="1" t="s">
        <v>142</v>
      </c>
      <c r="D17" s="1" t="s">
        <v>40</v>
      </c>
      <c r="E17" s="1">
        <v>0.0</v>
      </c>
      <c r="F17" s="1">
        <v>5.0</v>
      </c>
      <c r="G17" s="2" t="s">
        <v>143</v>
      </c>
      <c r="I17" s="5" t="str">
        <f>IFERROR(__xludf.DUMMYFUNCTION("IF(C17="""","""",LOWER(TRIM(REGEXREPLACE(C17,""[^A-Za-z0-9 ]"",""""))))"),"pwc tax services")</f>
        <v>pwc tax services</v>
      </c>
      <c r="J17" s="6" t="str">
        <f>IFERROR(__xludf.DUMMYFUNCTION("IF(G17="""","""",LOWER(REGEXREPLACE(REGEXREPLACE(REGEXREPLACE(G17,""^https?://"",""""),""[?#].*$"",""""),""/+$"","""")))"),"www.theforage.com/simulations/pwc-us/tax-l9rj")</f>
        <v>www.theforage.com/simulations/pwc-us/tax-l9rj</v>
      </c>
      <c r="L17" s="7" t="s">
        <v>39</v>
      </c>
    </row>
    <row r="18">
      <c r="A18" s="1"/>
      <c r="B18" s="5"/>
      <c r="C18" s="1" t="s">
        <v>147</v>
      </c>
      <c r="D18" s="1" t="s">
        <v>40</v>
      </c>
      <c r="E18" s="1">
        <v>0.0</v>
      </c>
      <c r="F18" s="1">
        <v>5.0</v>
      </c>
      <c r="G18" s="2" t="s">
        <v>148</v>
      </c>
      <c r="I18" s="5" t="str">
        <f>IFERROR(__xludf.DUMMYFUNCTION("IF(C18="""","""",LOWER(TRIM(REGEXREPLACE(C18,""[^A-Za-z0-9 ]"",""""))))"),"acca sustainability")</f>
        <v>acca sustainability</v>
      </c>
      <c r="J18" s="6" t="str">
        <f>IFERROR(__xludf.DUMMYFUNCTION("IF(G18="""","""",LOWER(REGEXREPLACE(REGEXREPLACE(REGEXREPLACE(G18,""^https?://"",""""),""[?#].*$"",""""),""/+$"","""")))"),"www.theforage.com/simulations/accaapac/sustainability-banking-4sca")</f>
        <v>www.theforage.com/simulations/accaapac/sustainability-banking-4sca</v>
      </c>
      <c r="L18" s="7" t="s">
        <v>39</v>
      </c>
    </row>
    <row r="19">
      <c r="A19" s="1"/>
      <c r="B19" s="1"/>
      <c r="C19" s="1" t="s">
        <v>99</v>
      </c>
      <c r="D19" s="1" t="s">
        <v>40</v>
      </c>
      <c r="E19" s="1">
        <v>0.0</v>
      </c>
      <c r="F19" s="1">
        <v>5.0</v>
      </c>
      <c r="G19" s="4" t="s">
        <v>103</v>
      </c>
      <c r="I19" s="5" t="str">
        <f>IFERROR(__xludf.DUMMYFUNCTION("IF(C19="""","""",LOWER(TRIM(REGEXREPLACE(C19,""[^A-Za-z0-9 ]"",""""))))"),"goldman sachs controllers")</f>
        <v>goldman sachs controllers</v>
      </c>
      <c r="J19" s="6" t="str">
        <f>IFERROR(__xludf.DUMMYFUNCTION("IF(G19="""","""",LOWER(REGEXREPLACE(REGEXREPLACE(REGEXREPLACE(G19,""^https?://"",""""),""[?#].*$"",""""),""/+$"","""")))"),"www.theforage.com/simulations/goldmansachs/controllers-8npc")</f>
        <v>www.theforage.com/simulations/goldmansachs/controllers-8npc</v>
      </c>
      <c r="L19" s="7" t="s">
        <v>39</v>
      </c>
    </row>
    <row r="20">
      <c r="A20" s="1"/>
      <c r="B20" s="1"/>
      <c r="C20" s="1" t="s">
        <v>156</v>
      </c>
      <c r="D20" s="1" t="s">
        <v>40</v>
      </c>
      <c r="E20" s="1">
        <v>0.0</v>
      </c>
      <c r="F20" s="1">
        <v>5.0</v>
      </c>
      <c r="G20" s="2" t="s">
        <v>158</v>
      </c>
      <c r="I20" s="5" t="str">
        <f>IFERROR(__xludf.DUMMYFUNCTION("IF(C20="""","""",LOWER(TRIM(REGEXREPLACE(C20,""[^A-Za-z0-9 ]"",""""))))"),"partnerup professionalism power")</f>
        <v>partnerup professionalism power</v>
      </c>
      <c r="J20" s="6" t="str">
        <f>IFERROR(__xludf.DUMMYFUNCTION("IF(G20="""","""",LOWER(REGEXREPLACE(REGEXREPLACE(REGEXREPLACE(G20,""^https?://"",""""),""[?#].*$"",""""),""/+$"","""")))"),"www.theforage.com/simulations/pnc/professionalism-power-skills-dxef")</f>
        <v>www.theforage.com/simulations/pnc/professionalism-power-skills-dxef</v>
      </c>
      <c r="L20" s="7" t="s">
        <v>39</v>
      </c>
    </row>
    <row r="21">
      <c r="A21" s="1" t="s">
        <v>26</v>
      </c>
      <c r="B21" s="1" t="s">
        <v>30</v>
      </c>
      <c r="C21" s="1" t="s">
        <v>161</v>
      </c>
      <c r="D21" s="1" t="s">
        <v>47</v>
      </c>
      <c r="E21" s="1">
        <v>0.0</v>
      </c>
      <c r="F21" s="1" t="s">
        <v>43</v>
      </c>
      <c r="G21" s="2" t="s">
        <v>162</v>
      </c>
      <c r="I21" s="5" t="str">
        <f>IFERROR(__xludf.DUMMYFUNCTION("IF(C21="""","""",LOWER(TRIM(REGEXREPLACE(C21,""[^A-Za-z0-9 ]"",""""))))"),"aws skill builder prompt engineering")</f>
        <v>aws skill builder prompt engineering</v>
      </c>
      <c r="J21" s="5" t="str">
        <f>IFERROR(__xludf.DUMMYFUNCTION("IF(G21="""","""",LOWER(REGEXREPLACE(REGEXREPLACE(REGEXREPLACE(G21,""^https?://"",""""),""[?#].*$"",""""),""/+$"","""")))"),"skillbuilder.aws/learn/vf6h4sz1bu/foundations-of-prompt-engineering/7u8xfuvxdt")</f>
        <v>skillbuilder.aws/learn/vf6h4sz1bu/foundations-of-prompt-engineering/7u8xfuvxdt</v>
      </c>
      <c r="L21" s="7" t="s">
        <v>39</v>
      </c>
    </row>
    <row r="22">
      <c r="A22" s="1" t="s">
        <v>26</v>
      </c>
      <c r="B22" s="5"/>
      <c r="C22" s="1" t="s">
        <v>165</v>
      </c>
      <c r="D22" s="1" t="s">
        <v>47</v>
      </c>
      <c r="E22" s="1">
        <v>0.0</v>
      </c>
      <c r="F22" s="1">
        <v>5.0</v>
      </c>
      <c r="G22" s="2" t="s">
        <v>167</v>
      </c>
      <c r="I22" s="5" t="str">
        <f>IFERROR(__xludf.DUMMYFUNCTION("IF(C22="""","""",LOWER(TRIM(REGEXREPLACE(C22,""[^A-Za-z0-9 ]"",""""))))"),"microsoft introduction to python edx")</f>
        <v>microsoft introduction to python edx</v>
      </c>
      <c r="J22" s="6" t="str">
        <f>IFERROR(__xludf.DUMMYFUNCTION("IF(G22="""","""",LOWER(REGEXREPLACE(REGEXREPLACE(REGEXREPLACE(G22,""^https?://"",""""),""[?#].*$"",""""),""/+$"","""")))"),"www.edx.org/learn/python/edx-try-it-intro-to-python")</f>
        <v>www.edx.org/learn/python/edx-try-it-intro-to-python</v>
      </c>
      <c r="L22" s="7" t="s">
        <v>39</v>
      </c>
    </row>
    <row r="23">
      <c r="A23" s="1" t="s">
        <v>26</v>
      </c>
      <c r="B23" s="5"/>
      <c r="C23" s="9" t="s">
        <v>118</v>
      </c>
      <c r="D23" s="1" t="s">
        <v>47</v>
      </c>
      <c r="E23" s="1">
        <v>0.0</v>
      </c>
      <c r="F23" s="1">
        <v>6.0</v>
      </c>
      <c r="G23" s="12" t="s">
        <v>120</v>
      </c>
      <c r="I23" s="5" t="str">
        <f>IFERROR(__xludf.DUMMYFUNCTION("IF(C23="""","""",LOWER(TRIM(REGEXREPLACE(C23,""[^A-Za-z0-9 ]"",""""))))"),"ibm skillsbuild sql")</f>
        <v>ibm skillsbuild sql</v>
      </c>
      <c r="J23" s="6" t="str">
        <f>IFERROR(__xludf.DUMMYFUNCTION("IF(G23="""","""",LOWER(REGEXREPLACE(REGEXREPLACE(REGEXREPLACE(G23,""^https?://"",""""),""[?#].*$"",""""),""/+$"","""")))"),"www.edx.org/learn/data-science/ibm-sql-for-data-science")</f>
        <v>www.edx.org/learn/data-science/ibm-sql-for-data-science</v>
      </c>
      <c r="L23" s="7" t="s">
        <v>39</v>
      </c>
    </row>
    <row r="24">
      <c r="A24" s="1" t="s">
        <v>26</v>
      </c>
      <c r="B24" s="5"/>
      <c r="C24" s="9" t="s">
        <v>122</v>
      </c>
      <c r="D24" s="1" t="s">
        <v>47</v>
      </c>
      <c r="E24" s="1">
        <v>0.0</v>
      </c>
      <c r="F24" s="1">
        <v>8.0</v>
      </c>
      <c r="G24" s="12" t="s">
        <v>123</v>
      </c>
      <c r="I24" s="5" t="str">
        <f>IFERROR(__xludf.DUMMYFUNCTION("IF(C24="""","""",LOWER(TRIM(REGEXREPLACE(C24,""[^A-Za-z0-9 ]"",""""))))"),"ibm data analysis with python")</f>
        <v>ibm data analysis with python</v>
      </c>
      <c r="J24" s="6" t="str">
        <f>IFERROR(__xludf.DUMMYFUNCTION("IF(G24="""","""",LOWER(REGEXREPLACE(REGEXREPLACE(REGEXREPLACE(G24,""^https?://"",""""),""[?#].*$"",""""),""/+$"","""")))"),"www.coursera.org/learn/data-analysis-with-python")</f>
        <v>www.coursera.org/learn/data-analysis-with-python</v>
      </c>
      <c r="L24" s="7" t="s">
        <v>39</v>
      </c>
    </row>
    <row r="25">
      <c r="A25" s="1" t="s">
        <v>26</v>
      </c>
      <c r="B25" s="5"/>
      <c r="C25" s="1" t="s">
        <v>175</v>
      </c>
      <c r="D25" s="1" t="s">
        <v>47</v>
      </c>
      <c r="E25" s="1">
        <v>0.0</v>
      </c>
      <c r="F25" s="1">
        <v>6.0</v>
      </c>
      <c r="G25" s="2" t="s">
        <v>176</v>
      </c>
      <c r="I25" s="5" t="str">
        <f>IFERROR(__xludf.DUMMYFUNCTION("IF(C25="""","""",LOWER(TRIM(REGEXREPLACE(C25,""[^A-Za-z0-9 ]"",""""))))"),"cisco networking data science essentials")</f>
        <v>cisco networking data science essentials</v>
      </c>
      <c r="J25" s="6" t="str">
        <f>IFERROR(__xludf.DUMMYFUNCTION("IF(G25="""","""",LOWER(REGEXREPLACE(REGEXREPLACE(REGEXREPLACE(G25,""^https?://"",""""),""[?#].*$"",""""),""/+$"","""")))"),"www.netacad.com/courses/data-science-essentials-with-python")</f>
        <v>www.netacad.com/courses/data-science-essentials-with-python</v>
      </c>
      <c r="L25" s="7" t="s">
        <v>39</v>
      </c>
    </row>
    <row r="26">
      <c r="A26" s="1" t="s">
        <v>26</v>
      </c>
      <c r="B26" s="5"/>
      <c r="C26" s="1" t="s">
        <v>181</v>
      </c>
      <c r="D26" s="1" t="s">
        <v>47</v>
      </c>
      <c r="E26" s="1">
        <v>0.0</v>
      </c>
      <c r="F26" s="1" t="s">
        <v>43</v>
      </c>
      <c r="G26" s="2" t="s">
        <v>182</v>
      </c>
      <c r="I26" s="5" t="str">
        <f>IFERROR(__xludf.DUMMYFUNCTION("IF(C26="""","""",LOWER(TRIM(REGEXREPLACE(C26,""[^A-Za-z0-9 ]"",""""))))"),"datacamp data engineering")</f>
        <v>datacamp data engineering</v>
      </c>
      <c r="J26" s="6" t="str">
        <f>IFERROR(__xludf.DUMMYFUNCTION("IF(G26="""","""",LOWER(REGEXREPLACE(REGEXREPLACE(REGEXREPLACE(G26,""^https?://"",""""),""[?#].*$"",""""),""/+$"","""")))"),"www.datacamp.com/certification/data-engineer")</f>
        <v>www.datacamp.com/certification/data-engineer</v>
      </c>
      <c r="L26" s="7" t="s">
        <v>39</v>
      </c>
    </row>
    <row r="27">
      <c r="A27" s="1" t="s">
        <v>26</v>
      </c>
      <c r="B27" s="5"/>
      <c r="C27" s="1" t="s">
        <v>24</v>
      </c>
      <c r="D27" s="1" t="s">
        <v>47</v>
      </c>
      <c r="E27" s="1">
        <v>0.0</v>
      </c>
      <c r="F27" s="1">
        <v>4.0</v>
      </c>
      <c r="G27" s="2" t="s">
        <v>132</v>
      </c>
      <c r="I27" s="5" t="str">
        <f>IFERROR(__xludf.DUMMYFUNCTION("IF(C27="""","""",LOWER(TRIM(REGEXREPLACE(C27,""[^A-Za-z0-9 ]"",""""))))"),"forage deloitte data analytics")</f>
        <v>forage deloitte data analytics</v>
      </c>
      <c r="J27" s="6" t="str">
        <f>IFERROR(__xludf.DUMMYFUNCTION("IF(G27="""","""",LOWER(REGEXREPLACE(REGEXREPLACE(REGEXREPLACE(G27,""^https?://"",""""),""[?#].*$"",""""),""/+$"","""")))"),"www.theforage.com/simulations/deloitte-au/dataanalytics-s5zy")</f>
        <v>www.theforage.com/simulations/deloitte-au/dataanalytics-s5zy</v>
      </c>
      <c r="L27" s="7" t="s">
        <v>39</v>
      </c>
    </row>
    <row r="28">
      <c r="A28" s="1" t="s">
        <v>26</v>
      </c>
      <c r="B28" s="5"/>
      <c r="C28" s="1" t="s">
        <v>185</v>
      </c>
      <c r="D28" s="1" t="s">
        <v>47</v>
      </c>
      <c r="E28" s="1">
        <v>0.0</v>
      </c>
      <c r="F28" s="1">
        <v>4.0</v>
      </c>
      <c r="G28" s="2" t="s">
        <v>186</v>
      </c>
      <c r="I28" s="5" t="str">
        <f>IFERROR(__xludf.DUMMYFUNCTION("IF(C28="""","""",LOWER(TRIM(REGEXREPLACE(C28,""[^A-Za-z0-9 ]"",""""))))"),"forage siemens engineering")</f>
        <v>forage siemens engineering</v>
      </c>
      <c r="J28" s="6" t="str">
        <f>IFERROR(__xludf.DUMMYFUNCTION("IF(G28="""","""",LOWER(REGEXREPLACE(REGEXREPLACE(REGEXREPLACE(G28,""^https?://"",""""),""[?#].*$"",""""),""/+$"","""")))"),"www.theforage.com/simulations/siemens-mobility/operations-industrial-engineering-xh22")</f>
        <v>www.theforage.com/simulations/siemens-mobility/operations-industrial-engineering-xh22</v>
      </c>
      <c r="L28" s="7" t="s">
        <v>39</v>
      </c>
    </row>
    <row r="29">
      <c r="A29" s="1" t="s">
        <v>26</v>
      </c>
      <c r="B29" s="5"/>
      <c r="C29" s="1" t="s">
        <v>187</v>
      </c>
      <c r="D29" s="1" t="s">
        <v>47</v>
      </c>
      <c r="E29" s="1">
        <v>0.0</v>
      </c>
      <c r="F29" s="1" t="s">
        <v>43</v>
      </c>
      <c r="G29" s="2" t="s">
        <v>188</v>
      </c>
      <c r="I29" s="5" t="str">
        <f>IFERROR(__xludf.DUMMYFUNCTION("IF(C29="""","""",LOWER(TRIM(REGEXREPLACE(C29,""[^A-Za-z0-9 ]"",""""))))"),"harvard cs50 certificate")</f>
        <v>harvard cs50 certificate</v>
      </c>
      <c r="J29" s="6" t="str">
        <f>IFERROR(__xludf.DUMMYFUNCTION("IF(G29="""","""",LOWER(REGEXREPLACE(REGEXREPLACE(REGEXREPLACE(G29,""^https?://"",""""),""[?#].*$"",""""),""/+$"","""")))"),"cs50.harvard.edu/x/certificate")</f>
        <v>cs50.harvard.edu/x/certificate</v>
      </c>
      <c r="L29" s="7" t="s">
        <v>39</v>
      </c>
    </row>
    <row r="30">
      <c r="A30" s="1" t="s">
        <v>26</v>
      </c>
      <c r="B30" s="5"/>
      <c r="C30" s="1" t="s">
        <v>66</v>
      </c>
      <c r="D30" s="1" t="s">
        <v>64</v>
      </c>
      <c r="G30" s="4" t="s">
        <v>67</v>
      </c>
      <c r="I30" s="5" t="str">
        <f>IFERROR(__xludf.DUMMYFUNCTION("IF(C30="""","""",LOWER(TRIM(REGEXREPLACE(C30,""[^A-Za-z0-9 ]"",""""))))"),"claude certifed archtitect")</f>
        <v>claude certifed archtitect</v>
      </c>
      <c r="J30" s="6" t="str">
        <f>IFERROR(__xludf.DUMMYFUNCTION("IF(G30="""","""",LOWER(REGEXREPLACE(REGEXREPLACE(REGEXREPLACE(G30,""^https?://"",""""),""[?#].*$"",""""),""/+$"","""")))"),"anthropic-partners.skilljar.com/claude-certified-architect-foundations-certification")</f>
        <v>anthropic-partners.skilljar.com/claude-certified-architect-foundations-certification</v>
      </c>
      <c r="L30" s="7" t="s">
        <v>39</v>
      </c>
    </row>
    <row r="31">
      <c r="A31" s="1" t="s">
        <v>26</v>
      </c>
      <c r="B31" s="5"/>
      <c r="C31" s="1" t="s">
        <v>193</v>
      </c>
      <c r="D31" s="1" t="s">
        <v>64</v>
      </c>
      <c r="G31" s="2" t="s">
        <v>194</v>
      </c>
      <c r="I31" s="5" t="str">
        <f>IFERROR(__xludf.DUMMYFUNCTION("IF(C31="""","""",LOWER(TRIM(REGEXREPLACE(C31,""[^A-Za-z0-9 ]"",""""))))"),"google ai essentials")</f>
        <v>google ai essentials</v>
      </c>
      <c r="J31" s="5" t="str">
        <f>IFERROR(__xludf.DUMMYFUNCTION("IF(G31="""","""",LOWER(REGEXREPLACE(REGEXREPLACE(REGEXREPLACE(G31,""^https?://"",""""),""[?#].*$"",""""),""/+$"","""")))"),"grow.google/ai-essentials")</f>
        <v>grow.google/ai-essentials</v>
      </c>
      <c r="L31" s="7" t="s">
        <v>39</v>
      </c>
    </row>
    <row r="32">
      <c r="A32" s="1" t="s">
        <v>26</v>
      </c>
      <c r="B32" s="5"/>
      <c r="C32" s="1" t="s">
        <v>197</v>
      </c>
      <c r="D32" s="1" t="s">
        <v>64</v>
      </c>
      <c r="G32" s="2" t="s">
        <v>198</v>
      </c>
      <c r="I32" s="5" t="str">
        <f>IFERROR(__xludf.DUMMYFUNCTION("IF(C32="""","""",LOWER(TRIM(REGEXREPLACE(C32,""[^A-Za-z0-9 ]"",""""))))"),"oracle oci ai foundations associate")</f>
        <v>oracle oci ai foundations associate</v>
      </c>
      <c r="J32" s="6" t="str">
        <f>IFERROR(__xludf.DUMMYFUNCTION("IF(G32="""","""",LOWER(REGEXREPLACE(REGEXREPLACE(REGEXREPLACE(G32,""^https?://"",""""),""[?#].*$"",""""),""/+$"","""")))"),"learn.oracle.com/ols/learning-path/become-an-oci-ai-foundations-associate/146553/163544")</f>
        <v>learn.oracle.com/ols/learning-path/become-an-oci-ai-foundations-associate/146553/163544</v>
      </c>
      <c r="L32" s="7" t="s">
        <v>39</v>
      </c>
    </row>
    <row r="33">
      <c r="A33" s="1" t="s">
        <v>26</v>
      </c>
      <c r="B33" s="5"/>
      <c r="C33" s="1" t="s">
        <v>204</v>
      </c>
      <c r="D33" s="1" t="s">
        <v>64</v>
      </c>
      <c r="E33" s="1">
        <v>100.0</v>
      </c>
      <c r="G33" s="2" t="s">
        <v>205</v>
      </c>
      <c r="I33" s="5" t="str">
        <f>IFERROR(__xludf.DUMMYFUNCTION("IF(C33="""","""",LOWER(TRIM(REGEXREPLACE(C33,""[^A-Za-z0-9 ]"",""""))))"),"aws cloud practitioner essentials")</f>
        <v>aws cloud practitioner essentials</v>
      </c>
      <c r="J33" s="5" t="str">
        <f>IFERROR(__xludf.DUMMYFUNCTION("IF(G33="""","""",LOWER(REGEXREPLACE(REGEXREPLACE(REGEXREPLACE(G33,""^https?://"",""""),""[?#].*$"",""""),""/+$"","""")))"),"skillbuilder.aws/learn/94t2ben85a/aws-cloud-practitioner-essentials/8d79f3avr7")</f>
        <v>skillbuilder.aws/learn/94t2ben85a/aws-cloud-practitioner-essentials/8d79f3avr7</v>
      </c>
      <c r="L33" s="7" t="s">
        <v>39</v>
      </c>
    </row>
    <row r="34">
      <c r="A34" s="1" t="s">
        <v>26</v>
      </c>
      <c r="B34" s="5"/>
      <c r="C34" s="1" t="s">
        <v>189</v>
      </c>
      <c r="D34" s="1" t="s">
        <v>70</v>
      </c>
      <c r="G34" s="2" t="s">
        <v>190</v>
      </c>
      <c r="I34" s="5" t="str">
        <f>IFERROR(__xludf.DUMMYFUNCTION("IF(C34="""","""",LOWER(TRIM(REGEXREPLACE(C34,""[^A-Za-z0-9 ]"",""""))))"),"google digital marketing")</f>
        <v>google digital marketing</v>
      </c>
      <c r="J34" s="6" t="str">
        <f>IFERROR(__xludf.DUMMYFUNCTION("IF(G34="""","""",LOWER(REGEXREPLACE(REGEXREPLACE(REGEXREPLACE(G34,""^https?://"",""""),""[?#].*$"",""""),""/+$"","""")))"),"www.coursera.org/professional-certificates/google-digital-marketing-ecommerce")</f>
        <v>www.coursera.org/professional-certificates/google-digital-marketing-ecommerce</v>
      </c>
      <c r="L34" s="7" t="s">
        <v>39</v>
      </c>
    </row>
    <row r="35">
      <c r="A35" s="1" t="s">
        <v>26</v>
      </c>
      <c r="B35" s="5"/>
      <c r="C35" s="1" t="s">
        <v>79</v>
      </c>
      <c r="D35" s="1" t="s">
        <v>70</v>
      </c>
      <c r="G35" s="12" t="s">
        <v>209</v>
      </c>
      <c r="I35" s="5" t="str">
        <f>IFERROR(__xludf.DUMMYFUNCTION("IF(C35="""","""",LOWER(TRIM(REGEXREPLACE(C35,""[^A-Za-z0-9 ]"",""""))))"),"google ai essentials")</f>
        <v>google ai essentials</v>
      </c>
      <c r="J35" s="6" t="str">
        <f>IFERROR(__xludf.DUMMYFUNCTION("IF(G35="""","""",LOWER(REGEXREPLACE(REGEXREPLACE(REGEXREPLACE(G35,""^https?://"",""""),""[?#].*$"",""""),""/+$"","""")))"),"www.coursera.org/learn/google-ai-essentials")</f>
        <v>www.coursera.org/learn/google-ai-essentials</v>
      </c>
      <c r="L35" s="7" t="s">
        <v>39</v>
      </c>
    </row>
    <row r="36">
      <c r="A36" s="1" t="s">
        <v>26</v>
      </c>
      <c r="B36" s="5"/>
      <c r="C36" s="1" t="s">
        <v>191</v>
      </c>
      <c r="D36" s="1" t="s">
        <v>70</v>
      </c>
      <c r="G36" s="2" t="s">
        <v>192</v>
      </c>
      <c r="I36" s="5" t="str">
        <f>IFERROR(__xludf.DUMMYFUNCTION("IF(C36="""","""",LOWER(TRIM(REGEXREPLACE(C36,""[^A-Za-z0-9 ]"",""""))))"),"google analytics")</f>
        <v>google analytics</v>
      </c>
      <c r="J36" s="6" t="str">
        <f>IFERROR(__xludf.DUMMYFUNCTION("IF(G36="""","""",LOWER(REGEXREPLACE(REGEXREPLACE(REGEXREPLACE(G36,""^https?://"",""""),""[?#].*$"",""""),""/+$"","""")))"),"skillshop.docebosaas.com/learn/courses/18609/google-analytics-certification-2026")</f>
        <v>skillshop.docebosaas.com/learn/courses/18609/google-analytics-certification-2026</v>
      </c>
      <c r="L36" s="7" t="s">
        <v>39</v>
      </c>
    </row>
    <row r="37">
      <c r="A37" s="1" t="s">
        <v>26</v>
      </c>
      <c r="B37" s="5"/>
      <c r="C37" s="1" t="s">
        <v>195</v>
      </c>
      <c r="D37" s="1" t="s">
        <v>70</v>
      </c>
      <c r="G37" s="2" t="s">
        <v>196</v>
      </c>
      <c r="I37" s="5" t="str">
        <f>IFERROR(__xludf.DUMMYFUNCTION("IF(C37="""","""",LOWER(TRIM(REGEXREPLACE(C37,""[^A-Za-z0-9 ]"",""""))))"),"google data analytics")</f>
        <v>google data analytics</v>
      </c>
      <c r="J37" s="6" t="str">
        <f>IFERROR(__xludf.DUMMYFUNCTION("IF(G37="""","""",LOWER(REGEXREPLACE(REGEXREPLACE(REGEXREPLACE(G37,""^https?://"",""""),""[?#].*$"",""""),""/+$"","""")))"),"www.coursera.org/professional-certificates/google-data-analytics")</f>
        <v>www.coursera.org/professional-certificates/google-data-analytics</v>
      </c>
      <c r="L37" s="7" t="s">
        <v>39</v>
      </c>
    </row>
    <row r="38">
      <c r="A38" s="1" t="s">
        <v>26</v>
      </c>
      <c r="B38" s="5"/>
      <c r="C38" s="1" t="s">
        <v>199</v>
      </c>
      <c r="D38" s="1" t="s">
        <v>70</v>
      </c>
      <c r="G38" s="4" t="s">
        <v>201</v>
      </c>
      <c r="I38" s="5" t="str">
        <f>IFERROR(__xludf.DUMMYFUNCTION("IF(C38="""","""",LOWER(TRIM(REGEXREPLACE(C38,""[^A-Za-z0-9 ]"",""""))))"),"google project management")</f>
        <v>google project management</v>
      </c>
      <c r="J38" s="6" t="str">
        <f>IFERROR(__xludf.DUMMYFUNCTION("IF(G38="""","""",LOWER(REGEXREPLACE(REGEXREPLACE(REGEXREPLACE(G38,""^https?://"",""""),""[?#].*$"",""""),""/+$"","""")))"),"www.coursera.org/professional-certificates/google-project-management")</f>
        <v>www.coursera.org/professional-certificates/google-project-management</v>
      </c>
      <c r="L38" s="7" t="s">
        <v>39</v>
      </c>
    </row>
    <row r="39">
      <c r="A39" s="1" t="s">
        <v>26</v>
      </c>
      <c r="B39" s="5"/>
      <c r="C39" s="1" t="s">
        <v>171</v>
      </c>
      <c r="D39" s="1" t="s">
        <v>70</v>
      </c>
      <c r="G39" s="2" t="s">
        <v>172</v>
      </c>
      <c r="I39" s="5" t="str">
        <f>IFERROR(__xludf.DUMMYFUNCTION("IF(C39="""","""",LOWER(TRIM(REGEXREPLACE(C39,""[^A-Za-z0-9 ]"",""""))))"),"hubspot content marketing")</f>
        <v>hubspot content marketing</v>
      </c>
      <c r="J39" s="6" t="str">
        <f>IFERROR(__xludf.DUMMYFUNCTION("IF(G39="""","""",LOWER(REGEXREPLACE(REGEXREPLACE(REGEXREPLACE(G39,""^https?://"",""""),""[?#].*$"",""""),""/+$"","""")))"),"academy.hubspot.com/courses/content-marketing")</f>
        <v>academy.hubspot.com/courses/content-marketing</v>
      </c>
      <c r="L39" s="7" t="s">
        <v>39</v>
      </c>
    </row>
    <row r="40">
      <c r="A40" s="1" t="s">
        <v>26</v>
      </c>
      <c r="B40" s="5"/>
      <c r="C40" s="1" t="s">
        <v>166</v>
      </c>
      <c r="D40" s="1" t="s">
        <v>70</v>
      </c>
      <c r="G40" s="2" t="s">
        <v>220</v>
      </c>
      <c r="I40" s="5" t="str">
        <f>IFERROR(__xludf.DUMMYFUNCTION("IF(C40="""","""",LOWER(TRIM(REGEXREPLACE(C40,""[^A-Za-z0-9 ]"",""""))))"),"hubspot digital marketing")</f>
        <v>hubspot digital marketing</v>
      </c>
      <c r="J40" s="6" t="str">
        <f>IFERROR(__xludf.DUMMYFUNCTION("IF(G40="""","""",LOWER(REGEXREPLACE(REGEXREPLACE(REGEXREPLACE(G40,""^https?://"",""""),""[?#].*$"",""""),""/+$"","""")))"),"academy.hubspot.com/courses/digital-marketing")</f>
        <v>academy.hubspot.com/courses/digital-marketing</v>
      </c>
      <c r="L40" s="7" t="s">
        <v>39</v>
      </c>
    </row>
    <row r="41">
      <c r="A41" s="1" t="s">
        <v>26</v>
      </c>
      <c r="B41" s="5"/>
      <c r="C41" s="1" t="s">
        <v>173</v>
      </c>
      <c r="D41" s="1" t="s">
        <v>70</v>
      </c>
      <c r="G41" s="2" t="s">
        <v>174</v>
      </c>
      <c r="I41" s="5" t="str">
        <f>IFERROR(__xludf.DUMMYFUNCTION("IF(C41="""","""",LOWER(TRIM(REGEXREPLACE(C41,""[^A-Za-z0-9 ]"",""""))))"),"hubspot social media marketing")</f>
        <v>hubspot social media marketing</v>
      </c>
      <c r="J41" s="6" t="str">
        <f>IFERROR(__xludf.DUMMYFUNCTION("IF(G41="""","""",LOWER(REGEXREPLACE(REGEXREPLACE(REGEXREPLACE(G41,""^https?://"",""""),""[?#].*$"",""""),""/+$"","""")))"),"academy.hubspot.com/courses/social-media")</f>
        <v>academy.hubspot.com/courses/social-media</v>
      </c>
      <c r="L41" s="7" t="s">
        <v>39</v>
      </c>
    </row>
    <row r="42">
      <c r="A42" s="1" t="s">
        <v>26</v>
      </c>
      <c r="B42" s="5"/>
      <c r="C42" s="1" t="s">
        <v>177</v>
      </c>
      <c r="D42" s="1" t="s">
        <v>70</v>
      </c>
      <c r="G42" s="2" t="s">
        <v>178</v>
      </c>
      <c r="I42" s="5" t="str">
        <f>IFERROR(__xludf.DUMMYFUNCTION("IF(C42="""","""",LOWER(TRIM(REGEXREPLACE(C42,""[^A-Za-z0-9 ]"",""""))))"),"hubspot email marketing")</f>
        <v>hubspot email marketing</v>
      </c>
      <c r="J42" s="6" t="str">
        <f>IFERROR(__xludf.DUMMYFUNCTION("IF(G42="""","""",LOWER(REGEXREPLACE(REGEXREPLACE(REGEXREPLACE(G42,""^https?://"",""""),""[?#].*$"",""""),""/+$"","""")))"),"academy.hubspot.com/courses/email-marketing-certification-en")</f>
        <v>academy.hubspot.com/courses/email-marketing-certification-en</v>
      </c>
      <c r="L42" s="7" t="s">
        <v>39</v>
      </c>
    </row>
    <row r="43">
      <c r="A43" s="1" t="s">
        <v>26</v>
      </c>
      <c r="B43" s="5"/>
      <c r="C43" s="1" t="s">
        <v>227</v>
      </c>
      <c r="D43" s="1" t="s">
        <v>70</v>
      </c>
      <c r="G43" s="2" t="s">
        <v>228</v>
      </c>
      <c r="I43" s="5" t="str">
        <f>IFERROR(__xludf.DUMMYFUNCTION("IF(C43="""","""",LOWER(TRIM(REGEXREPLACE(C43,""[^A-Za-z0-9 ]"",""""))))"),"meta social media marketing")</f>
        <v>meta social media marketing</v>
      </c>
      <c r="J43" s="6" t="str">
        <f>IFERROR(__xludf.DUMMYFUNCTION("IF(G43="""","""",LOWER(REGEXREPLACE(REGEXREPLACE(REGEXREPLACE(G43,""^https?://"",""""),""[?#].*$"",""""),""/+$"","""")))"),"www.facebook.com/business/learn/social-media-marketing-certificate-coursera")</f>
        <v>www.facebook.com/business/learn/social-media-marketing-certificate-coursera</v>
      </c>
      <c r="L43" s="7" t="s">
        <v>39</v>
      </c>
    </row>
    <row r="44">
      <c r="A44" s="1" t="s">
        <v>26</v>
      </c>
      <c r="B44" s="5"/>
      <c r="C44" s="1" t="s">
        <v>208</v>
      </c>
      <c r="D44" s="1" t="s">
        <v>70</v>
      </c>
      <c r="G44" s="2" t="s">
        <v>210</v>
      </c>
      <c r="I44" s="5" t="str">
        <f>IFERROR(__xludf.DUMMYFUNCTION("IF(C44="""","""",LOWER(TRIM(REGEXREPLACE(C44,""[^A-Za-z0-9 ]"",""""))))"),"microsoft ai fundamentals")</f>
        <v>microsoft ai fundamentals</v>
      </c>
      <c r="J44" s="6" t="str">
        <f>IFERROR(__xludf.DUMMYFUNCTION("IF(G44="""","""",LOWER(REGEXREPLACE(REGEXREPLACE(REGEXREPLACE(G44,""^https?://"",""""),""[?#].*$"",""""),""/+$"","""")))"),"learn.microsoft.com/en-us/credentials/certifications/azure-ai-fundamentals")</f>
        <v>learn.microsoft.com/en-us/credentials/certifications/azure-ai-fundamentals</v>
      </c>
      <c r="L44" s="7" t="s">
        <v>39</v>
      </c>
    </row>
    <row r="45">
      <c r="A45" s="1" t="s">
        <v>26</v>
      </c>
      <c r="B45" s="5"/>
      <c r="C45" s="1" t="s">
        <v>211</v>
      </c>
      <c r="D45" s="1" t="s">
        <v>70</v>
      </c>
      <c r="G45" s="2" t="s">
        <v>212</v>
      </c>
      <c r="I45" s="5" t="str">
        <f>IFERROR(__xludf.DUMMYFUNCTION("IF(C45="""","""",LOWER(TRIM(REGEXREPLACE(C45,""[^A-Za-z0-9 ]"",""""))))"),"microsoft power bi")</f>
        <v>microsoft power bi</v>
      </c>
      <c r="J45" s="6" t="str">
        <f>IFERROR(__xludf.DUMMYFUNCTION("IF(G45="""","""",LOWER(REGEXREPLACE(REGEXREPLACE(REGEXREPLACE(G45,""^https?://"",""""),""[?#].*$"",""""),""/+$"","""")))"),"www.coursera.org/professional-certificates/microsoft-power-bi-data-analyst")</f>
        <v>www.coursera.org/professional-certificates/microsoft-power-bi-data-analyst</v>
      </c>
      <c r="L45" s="7" t="s">
        <v>39</v>
      </c>
    </row>
    <row r="46">
      <c r="A46" s="1" t="s">
        <v>26</v>
      </c>
      <c r="B46" s="5"/>
      <c r="C46" s="1" t="s">
        <v>213</v>
      </c>
      <c r="D46" s="1" t="s">
        <v>70</v>
      </c>
      <c r="G46" s="2" t="s">
        <v>214</v>
      </c>
      <c r="I46" s="5" t="str">
        <f>IFERROR(__xludf.DUMMYFUNCTION("IF(C46="""","""",LOWER(TRIM(REGEXREPLACE(C46,""[^A-Za-z0-9 ]"",""""))))"),"microsoft azure fundamentals")</f>
        <v>microsoft azure fundamentals</v>
      </c>
      <c r="J46" s="6" t="str">
        <f>IFERROR(__xludf.DUMMYFUNCTION("IF(G46="""","""",LOWER(REGEXREPLACE(REGEXREPLACE(REGEXREPLACE(G46,""^https?://"",""""),""[?#].*$"",""""),""/+$"","""")))"),"www.coursera.org/specializations/microsoft-azure-fundamentals-az900-exam-prep")</f>
        <v>www.coursera.org/specializations/microsoft-azure-fundamentals-az900-exam-prep</v>
      </c>
      <c r="L46" s="7" t="s">
        <v>39</v>
      </c>
    </row>
    <row r="47">
      <c r="A47" s="1" t="s">
        <v>26</v>
      </c>
      <c r="B47" s="5"/>
      <c r="C47" s="1" t="s">
        <v>236</v>
      </c>
      <c r="D47" s="1" t="s">
        <v>70</v>
      </c>
      <c r="G47" s="2" t="s">
        <v>237</v>
      </c>
      <c r="I47" s="5" t="str">
        <f>IFERROR(__xludf.DUMMYFUNCTION("IF(C47="""","""",LOWER(TRIM(REGEXREPLACE(C47,""[^A-Za-z0-9 ]"",""""))))"),"career essentials in generative ai")</f>
        <v>career essentials in generative ai</v>
      </c>
      <c r="J47" s="6" t="str">
        <f>IFERROR(__xludf.DUMMYFUNCTION("IF(G47="""","""",LOWER(REGEXREPLACE(REGEXREPLACE(REGEXREPLACE(G47,""^https?://"",""""),""[?#].*$"",""""),""/+$"","""")))"),"www.linkedin.com/learning/paths/career-essentials-in-generative-ai-by-microsoft-and-linkedin")</f>
        <v>www.linkedin.com/learning/paths/career-essentials-in-generative-ai-by-microsoft-and-linkedin</v>
      </c>
      <c r="L47" s="7" t="s">
        <v>39</v>
      </c>
    </row>
    <row r="48">
      <c r="A48" s="1" t="s">
        <v>26</v>
      </c>
      <c r="B48" s="5"/>
      <c r="C48" s="1" t="s">
        <v>126</v>
      </c>
      <c r="D48" s="1" t="s">
        <v>70</v>
      </c>
      <c r="G48" s="2" t="s">
        <v>127</v>
      </c>
      <c r="I48" s="5" t="str">
        <f>IFERROR(__xludf.DUMMYFUNCTION("IF(C48="""","""",LOWER(TRIM(REGEXREPLACE(C48,""[^A-Za-z0-9 ]"",""""))))"),"ibm data science")</f>
        <v>ibm data science</v>
      </c>
      <c r="J48" s="6" t="str">
        <f>IFERROR(__xludf.DUMMYFUNCTION("IF(G48="""","""",LOWER(REGEXREPLACE(REGEXREPLACE(REGEXREPLACE(G48,""^https?://"",""""),""[?#].*$"",""""),""/+$"","""")))"),"www.coursera.org/professional-certificates/ibm-data-science")</f>
        <v>www.coursera.org/professional-certificates/ibm-data-science</v>
      </c>
      <c r="L48" s="7" t="s">
        <v>39</v>
      </c>
    </row>
    <row r="49">
      <c r="A49" s="1" t="s">
        <v>26</v>
      </c>
      <c r="B49" s="5"/>
      <c r="C49" s="1" t="s">
        <v>134</v>
      </c>
      <c r="D49" s="1" t="s">
        <v>70</v>
      </c>
      <c r="G49" s="2" t="s">
        <v>135</v>
      </c>
      <c r="I49" s="5" t="str">
        <f>IFERROR(__xludf.DUMMYFUNCTION("IF(C49="""","""",LOWER(TRIM(REGEXREPLACE(C49,""[^A-Za-z0-9 ]"",""""))))"),"ibm ai fundamentals")</f>
        <v>ibm ai fundamentals</v>
      </c>
      <c r="J49" s="6" t="str">
        <f>IFERROR(__xludf.DUMMYFUNCTION("IF(G49="""","""",LOWER(REGEXREPLACE(REGEXREPLACE(REGEXREPLACE(G49,""^https?://"",""""),""[?#].*$"",""""),""/+$"","""")))"),"www.netacad.com/courses/ai-ibm-skillsbuild")</f>
        <v>www.netacad.com/courses/ai-ibm-skillsbuild</v>
      </c>
      <c r="L49" s="7" t="s">
        <v>39</v>
      </c>
    </row>
    <row r="50">
      <c r="A50" s="1" t="s">
        <v>26</v>
      </c>
      <c r="B50" s="5"/>
      <c r="C50" s="1" t="s">
        <v>248</v>
      </c>
      <c r="D50" s="1" t="s">
        <v>70</v>
      </c>
      <c r="G50" s="2" t="s">
        <v>249</v>
      </c>
      <c r="I50" s="5" t="str">
        <f>IFERROR(__xludf.DUMMYFUNCTION("IF(C50="""","""",LOWER(TRIM(REGEXREPLACE(C50,""[^A-Za-z0-9 ]"",""""))))"),"freecodecamp responsive web design")</f>
        <v>freecodecamp responsive web design</v>
      </c>
      <c r="J50" s="6" t="str">
        <f>IFERROR(__xludf.DUMMYFUNCTION("IF(G50="""","""",LOWER(REGEXREPLACE(REGEXREPLACE(REGEXREPLACE(G50,""^https?://"",""""),""[?#].*$"",""""),""/+$"","""")))"),"www.freecodecamp.org/learn/responsive-web-design-v9")</f>
        <v>www.freecodecamp.org/learn/responsive-web-design-v9</v>
      </c>
      <c r="L50" s="7" t="s">
        <v>39</v>
      </c>
    </row>
    <row r="51">
      <c r="A51" s="1" t="s">
        <v>26</v>
      </c>
      <c r="B51" s="5"/>
      <c r="C51" s="1" t="s">
        <v>250</v>
      </c>
      <c r="D51" s="1" t="s">
        <v>70</v>
      </c>
      <c r="G51" s="2" t="s">
        <v>251</v>
      </c>
      <c r="I51" s="5" t="str">
        <f>IFERROR(__xludf.DUMMYFUNCTION("IF(C51="""","""",LOWER(TRIM(REGEXREPLACE(C51,""[^A-Za-z0-9 ]"",""""))))"),"freecodecamp javascript")</f>
        <v>freecodecamp javascript</v>
      </c>
      <c r="J51" s="6" t="str">
        <f>IFERROR(__xludf.DUMMYFUNCTION("IF(G51="""","""",LOWER(REGEXREPLACE(REGEXREPLACE(REGEXREPLACE(G51,""^https?://"",""""),""[?#].*$"",""""),""/+$"","""")))"),"www.freecodecamp.org/learn/javascript-v9")</f>
        <v>www.freecodecamp.org/learn/javascript-v9</v>
      </c>
      <c r="L51" s="7" t="s">
        <v>39</v>
      </c>
    </row>
    <row r="52">
      <c r="A52" s="1" t="s">
        <v>26</v>
      </c>
      <c r="B52" s="5"/>
      <c r="C52" s="1" t="s">
        <v>254</v>
      </c>
      <c r="D52" s="1" t="s">
        <v>70</v>
      </c>
      <c r="G52" s="2" t="s">
        <v>255</v>
      </c>
      <c r="I52" s="5" t="str">
        <f>IFERROR(__xludf.DUMMYFUNCTION("IF(C52="""","""",LOWER(TRIM(REGEXREPLACE(C52,""[^A-Za-z0-9 ]"",""""))))"),"freecodecamp data visualisation")</f>
        <v>freecodecamp data visualisation</v>
      </c>
      <c r="J52" s="6" t="str">
        <f>IFERROR(__xludf.DUMMYFUNCTION("IF(G52="""","""",LOWER(REGEXREPLACE(REGEXREPLACE(REGEXREPLACE(G52,""^https?://"",""""),""[?#].*$"",""""),""/+$"","""")))"),"www.freecodecamp.org/learn/data-visualization")</f>
        <v>www.freecodecamp.org/learn/data-visualization</v>
      </c>
      <c r="L52" s="7" t="s">
        <v>39</v>
      </c>
    </row>
    <row r="53">
      <c r="A53" s="1" t="s">
        <v>26</v>
      </c>
      <c r="B53" s="5"/>
      <c r="C53" s="1" t="s">
        <v>257</v>
      </c>
      <c r="D53" s="1" t="s">
        <v>70</v>
      </c>
      <c r="G53" s="2" t="s">
        <v>258</v>
      </c>
      <c r="I53" s="5" t="str">
        <f>IFERROR(__xludf.DUMMYFUNCTION("IF(C53="""","""",LOWER(TRIM(REGEXREPLACE(C53,""[^A-Za-z0-9 ]"",""""))))"),"python for everybody")</f>
        <v>python for everybody</v>
      </c>
      <c r="J53" s="6" t="str">
        <f>IFERROR(__xludf.DUMMYFUNCTION("IF(G53="""","""",LOWER(REGEXREPLACE(REGEXREPLACE(REGEXREPLACE(G53,""^https?://"",""""),""[?#].*$"",""""),""/+$"","""")))"),"www.coursera.org/specializations/python")</f>
        <v>www.coursera.org/specializations/python</v>
      </c>
      <c r="L53" s="7" t="s">
        <v>39</v>
      </c>
    </row>
    <row r="54">
      <c r="A54" s="1" t="s">
        <v>26</v>
      </c>
      <c r="B54" s="5"/>
      <c r="C54" s="1" t="s">
        <v>262</v>
      </c>
      <c r="D54" s="1" t="s">
        <v>70</v>
      </c>
      <c r="G54" s="2" t="s">
        <v>263</v>
      </c>
      <c r="I54" s="5" t="str">
        <f>IFERROR(__xludf.DUMMYFUNCTION("IF(C54="""","""",LOWER(TRIM(REGEXREPLACE(C54,""[^A-Za-z0-9 ]"",""""))))"),"excel skills for business")</f>
        <v>excel skills for business</v>
      </c>
      <c r="J54" s="6" t="str">
        <f>IFERROR(__xludf.DUMMYFUNCTION("IF(G54="""","""",LOWER(REGEXREPLACE(REGEXREPLACE(REGEXREPLACE(G54,""^https?://"",""""),""[?#].*$"",""""),""/+$"","""")))"),"www.coursera.org/specializations/excel")</f>
        <v>www.coursera.org/specializations/excel</v>
      </c>
      <c r="L54" s="7" t="s">
        <v>39</v>
      </c>
    </row>
    <row r="55">
      <c r="A55" s="1" t="s">
        <v>26</v>
      </c>
      <c r="B55" s="5"/>
      <c r="C55" s="1" t="s">
        <v>266</v>
      </c>
      <c r="D55" s="1" t="s">
        <v>70</v>
      </c>
      <c r="G55" s="2" t="s">
        <v>268</v>
      </c>
      <c r="I55" s="5" t="str">
        <f>IFERROR(__xludf.DUMMYFUNCTION("IF(C55="""","""",LOWER(TRIM(REGEXREPLACE(C55,""[^A-Za-z0-9 ]"",""""))))"),"introduction to cybersecurity")</f>
        <v>introduction to cybersecurity</v>
      </c>
      <c r="J55" s="6" t="str">
        <f>IFERROR(__xludf.DUMMYFUNCTION("IF(G55="""","""",LOWER(REGEXREPLACE(REGEXREPLACE(REGEXREPLACE(G55,""^https?://"",""""),""[?#].*$"",""""),""/+$"","""")))"),"www.netacad.com/courses/introduction-to-cybersecurity")</f>
        <v>www.netacad.com/courses/introduction-to-cybersecurity</v>
      </c>
      <c r="L55" s="7" t="s">
        <v>39</v>
      </c>
    </row>
    <row r="56">
      <c r="A56" s="1" t="s">
        <v>26</v>
      </c>
      <c r="B56" s="5"/>
      <c r="C56" s="1" t="s">
        <v>269</v>
      </c>
      <c r="D56" s="1" t="s">
        <v>70</v>
      </c>
      <c r="G56" s="12" t="s">
        <v>271</v>
      </c>
      <c r="I56" s="5" t="str">
        <f>IFERROR(__xludf.DUMMYFUNCTION("IF(C56="""","""",LOWER(TRIM(REGEXREPLACE(C56,""[^A-Za-z0-9 ]"",""""))))"),"ux design fundamentals")</f>
        <v>ux design fundamentals</v>
      </c>
      <c r="J56" s="6" t="str">
        <f>IFERROR(__xludf.DUMMYFUNCTION("IF(G56="""","""",LOWER(REGEXREPLACE(REGEXREPLACE(REGEXREPLACE(G56,""^https?://"",""""),""[?#].*$"",""""),""/+$"","""")))"),"www.coursera.org/specializations/ui-ux-design")</f>
        <v>www.coursera.org/specializations/ui-ux-design</v>
      </c>
      <c r="L56" s="7" t="s">
        <v>39</v>
      </c>
    </row>
    <row r="57">
      <c r="A57" s="1" t="s">
        <v>26</v>
      </c>
      <c r="B57" s="5"/>
      <c r="C57" s="1" t="s">
        <v>277</v>
      </c>
      <c r="D57" s="1" t="s">
        <v>70</v>
      </c>
      <c r="G57" s="12" t="s">
        <v>278</v>
      </c>
      <c r="I57" s="5" t="str">
        <f>IFERROR(__xludf.DUMMYFUNCTION("IF(C57="""","""",LOWER(TRIM(REGEXREPLACE(C57,""[^A-Za-z0-9 ]"",""""))))"),"financial markets")</f>
        <v>financial markets</v>
      </c>
      <c r="J57" s="6" t="str">
        <f>IFERROR(__xludf.DUMMYFUNCTION("IF(G57="""","""",LOWER(REGEXREPLACE(REGEXREPLACE(REGEXREPLACE(G57,""^https?://"",""""),""[?#].*$"",""""),""/+$"","""")))"),"www.coursera.org/learn/financial-markets-global")</f>
        <v>www.coursera.org/learn/financial-markets-global</v>
      </c>
      <c r="L57" s="7" t="s">
        <v>39</v>
      </c>
    </row>
    <row r="58">
      <c r="A58" s="1" t="s">
        <v>26</v>
      </c>
      <c r="B58" s="1" t="s">
        <v>279</v>
      </c>
      <c r="C58" s="1" t="s">
        <v>215</v>
      </c>
      <c r="D58" s="1" t="s">
        <v>74</v>
      </c>
      <c r="G58" s="2" t="s">
        <v>280</v>
      </c>
      <c r="I58" s="5" t="str">
        <f>IFERROR(__xludf.DUMMYFUNCTION("IF(C58="""","""",LOWER(TRIM(REGEXREPLACE(C58,""[^A-Za-z0-9 ]"",""""))))"),"microsoft foundational c")</f>
        <v>microsoft foundational c</v>
      </c>
      <c r="J58" s="6" t="str">
        <f>IFERROR(__xludf.DUMMYFUNCTION("IF(G58="""","""",LOWER(REGEXREPLACE(REGEXREPLACE(REGEXREPLACE(G58,""^https?://"",""""),""[?#].*$"",""""),""/+$"","""")))"),"www.freecodecamp.org/learn/foundational-c-sharp-with-microsoft")</f>
        <v>www.freecodecamp.org/learn/foundational-c-sharp-with-microsoft</v>
      </c>
      <c r="L58" s="7" t="s">
        <v>39</v>
      </c>
    </row>
    <row r="59">
      <c r="A59" s="1" t="s">
        <v>26</v>
      </c>
      <c r="B59" s="1" t="s">
        <v>30</v>
      </c>
      <c r="C59" s="1" t="s">
        <v>284</v>
      </c>
      <c r="D59" s="1" t="s">
        <v>74</v>
      </c>
      <c r="G59" s="8" t="s">
        <v>285</v>
      </c>
      <c r="I59" s="5" t="str">
        <f>IFERROR(__xludf.DUMMYFUNCTION("IF(C59="""","""",LOWER(TRIM(REGEXREPLACE(C59,""[^A-Za-z0-9 ]"",""""))))"),"kaggle machine learning")</f>
        <v>kaggle machine learning</v>
      </c>
      <c r="J59" s="6" t="str">
        <f>IFERROR(__xludf.DUMMYFUNCTION("IF(G59="""","""",LOWER(REGEXREPLACE(REGEXREPLACE(REGEXREPLACE(G59,""^https?://"",""""),""[?#].*$"",""""),""/+$"","""")))"),"www.kaggle.com/learn/intro-to-machine-learning")</f>
        <v>www.kaggle.com/learn/intro-to-machine-learning</v>
      </c>
      <c r="L59" s="7" t="s">
        <v>39</v>
      </c>
    </row>
    <row r="60">
      <c r="A60" s="1" t="s">
        <v>26</v>
      </c>
      <c r="B60" s="1" t="s">
        <v>286</v>
      </c>
      <c r="C60" s="1" t="s">
        <v>287</v>
      </c>
      <c r="D60" s="1" t="s">
        <v>74</v>
      </c>
      <c r="G60" s="2" t="s">
        <v>289</v>
      </c>
      <c r="I60" s="5" t="str">
        <f>IFERROR(__xludf.DUMMYFUNCTION("IF(C60="""","""",LOWER(TRIM(REGEXREPLACE(C60,""[^A-Za-z0-9 ]"",""""))))"),"hackerrank sql basic")</f>
        <v>hackerrank sql basic</v>
      </c>
      <c r="J60" s="6" t="str">
        <f>IFERROR(__xludf.DUMMYFUNCTION("IF(G60="""","""",LOWER(REGEXREPLACE(REGEXREPLACE(REGEXREPLACE(G60,""^https?://"",""""),""[?#].*$"",""""),""/+$"","""")))"),"www.hackerrank.com/skills-verification/sql_basic")</f>
        <v>www.hackerrank.com/skills-verification/sql_basic</v>
      </c>
      <c r="L60" s="7" t="s">
        <v>39</v>
      </c>
    </row>
    <row r="61">
      <c r="A61" s="1" t="s">
        <v>26</v>
      </c>
      <c r="B61" s="1" t="s">
        <v>59</v>
      </c>
      <c r="C61" s="1" t="s">
        <v>293</v>
      </c>
      <c r="D61" s="1" t="s">
        <v>74</v>
      </c>
      <c r="G61" s="2" t="s">
        <v>294</v>
      </c>
      <c r="I61" s="5" t="str">
        <f>IFERROR(__xludf.DUMMYFUNCTION("IF(C61="""","""",LOWER(TRIM(REGEXREPLACE(C61,""[^A-Za-z0-9 ]"",""""))))"),"elements of ai")</f>
        <v>elements of ai</v>
      </c>
      <c r="J61" s="6" t="str">
        <f>IFERROR(__xludf.DUMMYFUNCTION("IF(G61="""","""",LOWER(REGEXREPLACE(REGEXREPLACE(REGEXREPLACE(G61,""^https?://"",""""),""[?#].*$"",""""),""/+$"","""")))"),"course.elementsofai.com")</f>
        <v>course.elementsofai.com</v>
      </c>
      <c r="L61" s="7" t="s">
        <v>39</v>
      </c>
    </row>
    <row r="62">
      <c r="A62" s="1" t="s">
        <v>26</v>
      </c>
      <c r="B62" s="1" t="s">
        <v>279</v>
      </c>
      <c r="C62" s="1" t="s">
        <v>138</v>
      </c>
      <c r="D62" s="1" t="s">
        <v>74</v>
      </c>
      <c r="G62" s="2" t="s">
        <v>300</v>
      </c>
      <c r="I62" s="5" t="str">
        <f>IFERROR(__xludf.DUMMYFUNCTION("IF(C62="""","""",LOWER(TRIM(REGEXREPLACE(C62,""[^A-Za-z0-9 ]"",""""))))"),"ibm introduction to cloud")</f>
        <v>ibm introduction to cloud</v>
      </c>
      <c r="J62" s="6" t="str">
        <f>IFERROR(__xludf.DUMMYFUNCTION("IF(G62="""","""",LOWER(REGEXREPLACE(REGEXREPLACE(REGEXREPLACE(G62,""^https?://"",""""),""[?#].*$"",""""),""/+$"","""")))"),"cognitiveclass.ai/courses/introduction-to-cloud")</f>
        <v>cognitiveclass.ai/courses/introduction-to-cloud</v>
      </c>
      <c r="L62" s="7" t="s">
        <v>39</v>
      </c>
    </row>
    <row r="63">
      <c r="A63" s="1" t="s">
        <v>26</v>
      </c>
      <c r="B63" s="1" t="s">
        <v>279</v>
      </c>
      <c r="C63" s="1" t="s">
        <v>304</v>
      </c>
      <c r="D63" s="1" t="s">
        <v>74</v>
      </c>
      <c r="G63" s="2" t="s">
        <v>305</v>
      </c>
      <c r="I63" s="5" t="str">
        <f>IFERROR(__xludf.DUMMYFUNCTION("IF(C63="""","""",LOWER(TRIM(REGEXREPLACE(C63,""[^A-Za-z0-9 ]"",""""))))"),"saylor c programming")</f>
        <v>saylor c programming</v>
      </c>
      <c r="J63" s="6" t="str">
        <f>IFERROR(__xludf.DUMMYFUNCTION("IF(G63="""","""",LOWER(REGEXREPLACE(REGEXREPLACE(REGEXREPLACE(G63,""^https?://"",""""),""[?#].*$"",""""),""/+$"","""")))"),"learn.saylor.org/course/cs107")</f>
        <v>learn.saylor.org/course/cs107</v>
      </c>
      <c r="L63" s="7" t="s">
        <v>39</v>
      </c>
    </row>
    <row r="64">
      <c r="A64" s="1" t="s">
        <v>26</v>
      </c>
      <c r="B64" s="1" t="s">
        <v>311</v>
      </c>
      <c r="C64" s="1" t="s">
        <v>312</v>
      </c>
      <c r="D64" s="3" t="s">
        <v>78</v>
      </c>
      <c r="F64" s="1">
        <v>4.0</v>
      </c>
      <c r="G64" s="2" t="s">
        <v>313</v>
      </c>
      <c r="I64" s="5" t="str">
        <f>IFERROR(__xludf.DUMMYFUNCTION("IF(C64="""","""",LOWER(TRIM(REGEXREPLACE(C64,""[^A-Za-z0-9 ]"",""""))))"),"jpmorganchase investment")</f>
        <v>jpmorganchase investment</v>
      </c>
      <c r="J64" s="6" t="str">
        <f>IFERROR(__xludf.DUMMYFUNCTION("IF(G64="""","""",LOWER(REGEXREPLACE(REGEXREPLACE(REGEXREPLACE(G64,""^https?://"",""""),""[?#].*$"",""""),""/+$"","""")))"),"www.theforage.com/simulations/jpmorgan/investment-banking-hkyd")</f>
        <v>www.theforage.com/simulations/jpmorgan/investment-banking-hkyd</v>
      </c>
      <c r="L64" s="7" t="s">
        <v>39</v>
      </c>
    </row>
    <row r="65">
      <c r="A65" s="1" t="s">
        <v>26</v>
      </c>
      <c r="B65" s="1" t="s">
        <v>311</v>
      </c>
      <c r="C65" s="1" t="s">
        <v>317</v>
      </c>
      <c r="D65" s="3" t="s">
        <v>78</v>
      </c>
      <c r="F65" s="1">
        <v>5.0</v>
      </c>
      <c r="G65" s="2" t="s">
        <v>318</v>
      </c>
      <c r="I65" s="5" t="str">
        <f>IFERROR(__xludf.DUMMYFUNCTION("IF(C65="""","""",LOWER(TRIM(REGEXREPLACE(C65,""[^A-Za-z0-9 ]"",""""))))"),"bank of america investment banking")</f>
        <v>bank of america investment banking</v>
      </c>
      <c r="J65" s="6" t="str">
        <f>IFERROR(__xludf.DUMMYFUNCTION("IF(G65="""","""",LOWER(REGEXREPLACE(REGEXREPLACE(REGEXREPLACE(G65,""^https?://"",""""),""[?#].*$"",""""),""/+$"","""")))"),"www.theforage.com/simulations/bank-of-america/investment-banking-bwp7")</f>
        <v>www.theforage.com/simulations/bank-of-america/investment-banking-bwp7</v>
      </c>
      <c r="L65" s="7" t="s">
        <v>39</v>
      </c>
    </row>
    <row r="66">
      <c r="A66" s="1" t="s">
        <v>26</v>
      </c>
      <c r="B66" s="1" t="s">
        <v>311</v>
      </c>
      <c r="C66" s="1" t="s">
        <v>99</v>
      </c>
      <c r="D66" s="3" t="s">
        <v>78</v>
      </c>
      <c r="F66" s="1">
        <v>1.0</v>
      </c>
      <c r="G66" s="2" t="s">
        <v>103</v>
      </c>
      <c r="I66" s="5" t="str">
        <f>IFERROR(__xludf.DUMMYFUNCTION("IF(C66="""","""",LOWER(TRIM(REGEXREPLACE(C66,""[^A-Za-z0-9 ]"",""""))))"),"goldman sachs controllers")</f>
        <v>goldman sachs controllers</v>
      </c>
      <c r="J66" s="6" t="str">
        <f>IFERROR(__xludf.DUMMYFUNCTION("IF(G66="""","""",LOWER(REGEXREPLACE(REGEXREPLACE(REGEXREPLACE(G66,""^https?://"",""""),""[?#].*$"",""""),""/+$"","""")))"),"www.theforage.com/simulations/goldmansachs/controllers-8npc")</f>
        <v>www.theforage.com/simulations/goldmansachs/controllers-8npc</v>
      </c>
      <c r="L66" s="7" t="s">
        <v>39</v>
      </c>
    </row>
    <row r="67">
      <c r="A67" s="1" t="s">
        <v>26</v>
      </c>
      <c r="B67" s="1" t="s">
        <v>311</v>
      </c>
      <c r="C67" s="1" t="s">
        <v>324</v>
      </c>
      <c r="D67" s="3" t="s">
        <v>78</v>
      </c>
      <c r="F67" s="1">
        <v>6.0</v>
      </c>
      <c r="G67" s="2" t="s">
        <v>325</v>
      </c>
      <c r="I67" s="5" t="str">
        <f>IFERROR(__xludf.DUMMYFUNCTION("IF(C67="""","""",LOWER(TRIM(REGEXREPLACE(C67,""[^A-Za-z0-9 ]"",""""))))"),"citi investment banking")</f>
        <v>citi investment banking</v>
      </c>
      <c r="J67" s="6" t="str">
        <f>IFERROR(__xludf.DUMMYFUNCTION("IF(G67="""","""",LOWER(REGEXREPLACE(REGEXREPLACE(REGEXREPLACE(G67,""^https?://"",""""),""[?#].*$"",""""),""/+$"","""")))"),"www.theforage.com/simulations/citi/investment-banking-9wcw")</f>
        <v>www.theforage.com/simulations/citi/investment-banking-9wcw</v>
      </c>
      <c r="L67" s="7" t="s">
        <v>39</v>
      </c>
    </row>
    <row r="68">
      <c r="A68" s="1" t="s">
        <v>26</v>
      </c>
      <c r="B68" s="1" t="s">
        <v>311</v>
      </c>
      <c r="C68" s="1" t="s">
        <v>328</v>
      </c>
      <c r="D68" s="3" t="s">
        <v>78</v>
      </c>
      <c r="F68" s="1">
        <v>4.0</v>
      </c>
      <c r="G68" s="2" t="s">
        <v>329</v>
      </c>
      <c r="I68" s="5" t="str">
        <f>IFERROR(__xludf.DUMMYFUNCTION("IF(C68="""","""",LOWER(TRIM(REGEXREPLACE(C68,""[^A-Za-z0-9 ]"",""""))))"),"h2 ventures venture capital")</f>
        <v>h2 ventures venture capital</v>
      </c>
      <c r="J68" s="6" t="str">
        <f>IFERROR(__xludf.DUMMYFUNCTION("IF(G68="""","""",LOWER(REGEXREPLACE(REGEXREPLACE(REGEXREPLACE(G68,""^https?://"",""""),""[?#].*$"",""""),""/+$"","""")))"),"www.theforage.com/simulations/h2-ventures/venture-capital-comi")</f>
        <v>www.theforage.com/simulations/h2-ventures/venture-capital-comi</v>
      </c>
      <c r="L68" s="7" t="s">
        <v>39</v>
      </c>
    </row>
    <row r="69">
      <c r="A69" s="1" t="s">
        <v>26</v>
      </c>
      <c r="B69" s="1" t="s">
        <v>311</v>
      </c>
      <c r="C69" s="1" t="s">
        <v>332</v>
      </c>
      <c r="D69" s="3" t="s">
        <v>78</v>
      </c>
      <c r="F69" s="1">
        <v>5.0</v>
      </c>
      <c r="G69" s="2" t="s">
        <v>333</v>
      </c>
      <c r="I69" s="5" t="str">
        <f>IFERROR(__xludf.DUMMYFUNCTION("IF(C69="""","""",LOWER(TRIM(REGEXREPLACE(C69,""[^A-Za-z0-9 ]"",""""))))"),"bcg strategy consulting")</f>
        <v>bcg strategy consulting</v>
      </c>
      <c r="J69" s="6" t="str">
        <f>IFERROR(__xludf.DUMMYFUNCTION("IF(G69="""","""",LOWER(REGEXREPLACE(REGEXREPLACE(REGEXREPLACE(G69,""^https?://"",""""),""[?#].*$"",""""),""/+$"","""")))"),"www.theforage.com/simulations/bcg/strategy-consulting-jk76")</f>
        <v>www.theforage.com/simulations/bcg/strategy-consulting-jk76</v>
      </c>
      <c r="L69" s="7" t="s">
        <v>39</v>
      </c>
    </row>
    <row r="70">
      <c r="A70" s="1" t="s">
        <v>26</v>
      </c>
      <c r="B70" s="1" t="s">
        <v>30</v>
      </c>
      <c r="C70" s="1" t="s">
        <v>336</v>
      </c>
      <c r="D70" s="3" t="s">
        <v>78</v>
      </c>
      <c r="F70" s="1">
        <v>2.0</v>
      </c>
      <c r="G70" s="2" t="s">
        <v>337</v>
      </c>
      <c r="I70" s="5" t="str">
        <f>IFERROR(__xludf.DUMMYFUNCTION("IF(C70="""","""",LOWER(TRIM(REGEXREPLACE(C70,""[^A-Za-z0-9 ]"",""""))))"),"mastercard advisor consulting services")</f>
        <v>mastercard advisor consulting services</v>
      </c>
      <c r="J70" s="6" t="str">
        <f>IFERROR(__xludf.DUMMYFUNCTION("IF(G70="""","""",LOWER(REGEXREPLACE(REGEXREPLACE(REGEXREPLACE(G70,""^https?://"",""""),""[?#].*$"",""""),""/+$"","""")))"),"www.theforage.com/simulations/mastercard/advisors-client-services-xvlw")</f>
        <v>www.theforage.com/simulations/mastercard/advisors-client-services-xvlw</v>
      </c>
      <c r="L70" s="7" t="s">
        <v>39</v>
      </c>
    </row>
    <row r="71">
      <c r="A71" s="1" t="s">
        <v>26</v>
      </c>
      <c r="B71" s="1" t="s">
        <v>311</v>
      </c>
      <c r="C71" s="1" t="s">
        <v>340</v>
      </c>
      <c r="D71" s="3" t="s">
        <v>78</v>
      </c>
      <c r="F71" s="1">
        <v>4.0</v>
      </c>
      <c r="G71" s="2" t="s">
        <v>342</v>
      </c>
      <c r="I71" s="5" t="str">
        <f>IFERROR(__xludf.DUMMYFUNCTION("IF(C71="""","""",LOWER(TRIM(REGEXREPLACE(C71,""[^A-Za-z0-9 ]"",""""))))"),"bcg digital transformation")</f>
        <v>bcg digital transformation</v>
      </c>
      <c r="J71" s="6" t="str">
        <f>IFERROR(__xludf.DUMMYFUNCTION("IF(G71="""","""",LOWER(REGEXREPLACE(REGEXREPLACE(REGEXREPLACE(G71,""^https?://"",""""),""[?#].*$"",""""),""/+$"","""")))"),"www.theforage.com/simulations/bcg/digital-transformation-pk18")</f>
        <v>www.theforage.com/simulations/bcg/digital-transformation-pk18</v>
      </c>
      <c r="L71" s="7" t="s">
        <v>39</v>
      </c>
    </row>
    <row r="72">
      <c r="A72" s="1" t="s">
        <v>26</v>
      </c>
      <c r="B72" s="1" t="s">
        <v>311</v>
      </c>
      <c r="C72" s="1" t="s">
        <v>347</v>
      </c>
      <c r="D72" s="3" t="s">
        <v>78</v>
      </c>
      <c r="F72" s="1">
        <v>2.0</v>
      </c>
      <c r="G72" s="2" t="s">
        <v>348</v>
      </c>
      <c r="I72" s="5" t="str">
        <f>IFERROR(__xludf.DUMMYFUNCTION("IF(C72="""","""",LOWER(TRIM(REGEXREPLACE(C72,""[^A-Za-z0-9 ]"",""""))))"),"cbre project management")</f>
        <v>cbre project management</v>
      </c>
      <c r="J72" s="6" t="str">
        <f>IFERROR(__xludf.DUMMYFUNCTION("IF(G72="""","""",LOWER(REGEXREPLACE(REGEXREPLACE(REGEXREPLACE(G72,""^https?://"",""""),""[?#].*$"",""""),""/+$"","""")))"),"www.theforage.com/simulations/cbre/project-management-x2vz")</f>
        <v>www.theforage.com/simulations/cbre/project-management-x2vz</v>
      </c>
      <c r="L72" s="7" t="s">
        <v>39</v>
      </c>
    </row>
    <row r="73">
      <c r="A73" s="1" t="s">
        <v>26</v>
      </c>
      <c r="B73" s="1" t="s">
        <v>311</v>
      </c>
      <c r="C73" s="1" t="s">
        <v>274</v>
      </c>
      <c r="D73" s="3" t="s">
        <v>78</v>
      </c>
      <c r="F73" s="1">
        <v>2.0</v>
      </c>
      <c r="G73" s="2" t="s">
        <v>276</v>
      </c>
      <c r="I73" s="5" t="str">
        <f>IFERROR(__xludf.DUMMYFUNCTION("IF(C73="""","""",LOWER(TRIM(REGEXREPLACE(C73,""[^A-Za-z0-9 ]"",""""))))"),"siemens mobility project manager")</f>
        <v>siemens mobility project manager</v>
      </c>
      <c r="J73" s="6" t="str">
        <f>IFERROR(__xludf.DUMMYFUNCTION("IF(G73="""","""",LOWER(REGEXREPLACE(REGEXREPLACE(REGEXREPLACE(G73,""^https?://"",""""),""[?#].*$"",""""),""/+$"","""")))"),"www.theforage.com/simulations/siemens-mobility/project-management-qydx")</f>
        <v>www.theforage.com/simulations/siemens-mobility/project-management-qydx</v>
      </c>
      <c r="L73" s="7" t="s">
        <v>39</v>
      </c>
    </row>
    <row r="74">
      <c r="A74" s="1" t="s">
        <v>26</v>
      </c>
      <c r="B74" s="1" t="s">
        <v>311</v>
      </c>
      <c r="C74" s="1" t="s">
        <v>353</v>
      </c>
      <c r="D74" s="3" t="s">
        <v>78</v>
      </c>
      <c r="F74" s="1">
        <v>2.0</v>
      </c>
      <c r="G74" s="2" t="s">
        <v>354</v>
      </c>
      <c r="I74" s="5" t="str">
        <f>IFERROR(__xludf.DUMMYFUNCTION("IF(C74="""","""",LOWER(TRIM(REGEXREPLACE(C74,""[^A-Za-z0-9 ]"",""""))))"),"red bull onpremise sales")</f>
        <v>red bull onpremise sales</v>
      </c>
      <c r="J74" s="6" t="str">
        <f>IFERROR(__xludf.DUMMYFUNCTION("IF(G74="""","""",LOWER(REGEXREPLACE(REGEXREPLACE(REGEXREPLACE(G74,""^https?://"",""""),""[?#].*$"",""""),""/+$"","""")))"),"www.theforage.com/simulations/red-bull/on-premise-sales-waza")</f>
        <v>www.theforage.com/simulations/red-bull/on-premise-sales-waza</v>
      </c>
      <c r="L74" s="7" t="s">
        <v>39</v>
      </c>
    </row>
    <row r="75">
      <c r="A75" s="1" t="s">
        <v>26</v>
      </c>
      <c r="B75" s="1" t="s">
        <v>311</v>
      </c>
      <c r="C75" s="1" t="s">
        <v>357</v>
      </c>
      <c r="D75" s="3" t="s">
        <v>78</v>
      </c>
      <c r="F75" s="1" t="s">
        <v>43</v>
      </c>
      <c r="G75" s="2" t="s">
        <v>358</v>
      </c>
      <c r="I75" s="5" t="str">
        <f>IFERROR(__xludf.DUMMYFUNCTION("IF(C75="""","""",LOWER(TRIM(REGEXREPLACE(C75,""[^A-Za-z0-9 ]"",""""))))"),"pearson marketing explorer")</f>
        <v>pearson marketing explorer</v>
      </c>
      <c r="J75" s="6" t="str">
        <f>IFERROR(__xludf.DUMMYFUNCTION("IF(G75="""","""",LOWER(REGEXREPLACE(REGEXREPLACE(REGEXREPLACE(G75,""^https?://"",""""),""[?#].*$"",""""),""/+$"","""")))"),"www.theforage.com/simulations/pearson/marketing-oxce")</f>
        <v>www.theforage.com/simulations/pearson/marketing-oxce</v>
      </c>
      <c r="L75" s="7" t="s">
        <v>39</v>
      </c>
    </row>
    <row r="76">
      <c r="A76" s="1" t="s">
        <v>26</v>
      </c>
      <c r="B76" s="1" t="s">
        <v>311</v>
      </c>
      <c r="C76" s="1" t="s">
        <v>362</v>
      </c>
      <c r="D76" s="3" t="s">
        <v>78</v>
      </c>
      <c r="F76" s="1">
        <v>6.0</v>
      </c>
      <c r="G76" s="2" t="s">
        <v>364</v>
      </c>
      <c r="I76" s="5" t="str">
        <f>IFERROR(__xludf.DUMMYFUNCTION("IF(C76="""","""",LOWER(TRIM(REGEXREPLACE(C76,""[^A-Za-z0-9 ]"",""""))))"),"forage academy omnichannel marketing")</f>
        <v>forage academy omnichannel marketing</v>
      </c>
      <c r="J76" s="6" t="str">
        <f>IFERROR(__xludf.DUMMYFUNCTION("IF(G76="""","""",LOWER(REGEXREPLACE(REGEXREPLACE(REGEXREPLACE(G76,""^https?://"",""""),""[?#].*$"",""""),""/+$"","""")))"),"www.theforage.com/simulations/forage/sponsored-content-omnichannel-marketing-5iep")</f>
        <v>www.theforage.com/simulations/forage/sponsored-content-omnichannel-marketing-5iep</v>
      </c>
      <c r="L76" s="7" t="s">
        <v>39</v>
      </c>
    </row>
    <row r="77">
      <c r="A77" s="1" t="s">
        <v>26</v>
      </c>
      <c r="B77" s="1" t="s">
        <v>311</v>
      </c>
      <c r="C77" s="1" t="s">
        <v>367</v>
      </c>
      <c r="D77" s="3" t="s">
        <v>78</v>
      </c>
      <c r="F77" s="1">
        <v>4.0</v>
      </c>
      <c r="G77" s="2" t="s">
        <v>368</v>
      </c>
      <c r="I77" s="5" t="str">
        <f>IFERROR(__xludf.DUMMYFUNCTION("IF(C77="""","""",LOWER(TRIM(REGEXREPLACE(C77,""[^A-Za-z0-9 ]"",""""))))"),"bloomberg client engagement")</f>
        <v>bloomberg client engagement</v>
      </c>
      <c r="J77" s="6" t="str">
        <f>IFERROR(__xludf.DUMMYFUNCTION("IF(G77="""","""",LOWER(REGEXREPLACE(REGEXREPLACE(REGEXREPLACE(G77,""^https?://"",""""),""[?#].*$"",""""),""/+$"","""")))"),"www.theforage.com/simulations/bloomberg/client-engagement-a6hi")</f>
        <v>www.theforage.com/simulations/bloomberg/client-engagement-a6hi</v>
      </c>
      <c r="L77" s="7" t="s">
        <v>39</v>
      </c>
    </row>
    <row r="78">
      <c r="A78" s="1" t="s">
        <v>26</v>
      </c>
      <c r="B78" s="1" t="s">
        <v>311</v>
      </c>
      <c r="C78" s="1" t="s">
        <v>374</v>
      </c>
      <c r="D78" s="3" t="s">
        <v>78</v>
      </c>
      <c r="F78" s="1">
        <v>5.0</v>
      </c>
      <c r="G78" s="2" t="s">
        <v>375</v>
      </c>
      <c r="I78" s="5" t="str">
        <f>IFERROR(__xludf.DUMMYFUNCTION("IF(C78="""","""",LOWER(TRIM(REGEXREPLACE(C78,""[^A-Za-z0-9 ]"",""""))))"),"hewlett packard enerprise digital sales")</f>
        <v>hewlett packard enerprise digital sales</v>
      </c>
      <c r="J78" s="6" t="str">
        <f>IFERROR(__xludf.DUMMYFUNCTION("IF(G78="""","""",LOWER(REGEXREPLACE(REGEXREPLACE(REGEXREPLACE(G78,""^https?://"",""""),""[?#].*$"",""""),""/+$"","""")))"),"www.theforage.com/simulations/hewlett-packard-enterprise/digital-sales-mmkg")</f>
        <v>www.theforage.com/simulations/hewlett-packard-enterprise/digital-sales-mmkg</v>
      </c>
      <c r="L78" s="7" t="s">
        <v>39</v>
      </c>
    </row>
    <row r="79">
      <c r="A79" s="5"/>
      <c r="B79" s="5"/>
      <c r="C79" s="1" t="s">
        <v>380</v>
      </c>
      <c r="D79" s="3" t="s">
        <v>78</v>
      </c>
      <c r="F79" s="1">
        <v>4.0</v>
      </c>
      <c r="G79" s="2" t="s">
        <v>382</v>
      </c>
      <c r="I79" s="5" t="str">
        <f>IFERROR(__xludf.DUMMYFUNCTION("IF(C79="""","""",LOWER(TRIM(REGEXREPLACE(C79,""[^A-Za-z0-9 ]"",""""))))"),"walmart advanced software engineering")</f>
        <v>walmart advanced software engineering</v>
      </c>
      <c r="J79" s="6" t="str">
        <f>IFERROR(__xludf.DUMMYFUNCTION("IF(G79="""","""",LOWER(REGEXREPLACE(REGEXREPLACE(REGEXREPLACE(G79,""^https?://"",""""),""[?#].*$"",""""),""/+$"","""")))"),"www.theforage.com/simulations/walmart/software-engineering-fceb")</f>
        <v>www.theforage.com/simulations/walmart/software-engineering-fceb</v>
      </c>
      <c r="L79" s="7" t="s">
        <v>39</v>
      </c>
    </row>
    <row r="80">
      <c r="A80" s="5"/>
      <c r="B80" s="5"/>
      <c r="C80" s="1" t="s">
        <v>386</v>
      </c>
      <c r="D80" s="3" t="s">
        <v>78</v>
      </c>
      <c r="F80" s="1">
        <v>5.0</v>
      </c>
      <c r="G80" s="2" t="s">
        <v>387</v>
      </c>
      <c r="I80" s="5" t="str">
        <f>IFERROR(__xludf.DUMMYFUNCTION("IF(C80="""","""",LOWER(TRIM(REGEXREPLACE(C80,""[^A-Za-z0-9 ]"",""""))))"),"jpmorganchase software engineering")</f>
        <v>jpmorganchase software engineering</v>
      </c>
      <c r="J80" s="6" t="str">
        <f>IFERROR(__xludf.DUMMYFUNCTION("IF(G80="""","""",LOWER(REGEXREPLACE(REGEXREPLACE(REGEXREPLACE(G80,""^https?://"",""""),""[?#].*$"",""""),""/+$"","""")))"),"www.theforage.com/simulations/jpmorgan/advanced-software-engineering-r0fm")</f>
        <v>www.theforage.com/simulations/jpmorgan/advanced-software-engineering-r0fm</v>
      </c>
      <c r="L80" s="7" t="s">
        <v>39</v>
      </c>
    </row>
    <row r="81">
      <c r="A81" s="5"/>
      <c r="B81" s="5"/>
      <c r="C81" s="1" t="s">
        <v>390</v>
      </c>
      <c r="D81" s="3" t="s">
        <v>78</v>
      </c>
      <c r="F81" s="1">
        <v>2.0</v>
      </c>
      <c r="G81" s="2" t="s">
        <v>391</v>
      </c>
      <c r="I81" s="5" t="str">
        <f>IFERROR(__xludf.DUMMYFUNCTION("IF(C81="""","""",LOWER(TRIM(REGEXREPLACE(C81,""[^A-Za-z0-9 ]"",""""))))"),"skyscanner frontend software engineering")</f>
        <v>skyscanner frontend software engineering</v>
      </c>
      <c r="J81" s="6" t="str">
        <f>IFERROR(__xludf.DUMMYFUNCTION("IF(G81="""","""",LOWER(REGEXREPLACE(REGEXREPLACE(REGEXREPLACE(G81,""^https?://"",""""),""[?#].*$"",""""),""/+$"","""")))"),"www.theforage.com/simulations/skyscanner/front-end-software-engineering-cbwl")</f>
        <v>www.theforage.com/simulations/skyscanner/front-end-software-engineering-cbwl</v>
      </c>
      <c r="L81" s="7" t="s">
        <v>39</v>
      </c>
    </row>
    <row r="82">
      <c r="A82" s="5"/>
      <c r="B82" s="5"/>
      <c r="C82" s="1" t="s">
        <v>392</v>
      </c>
      <c r="D82" s="3" t="s">
        <v>78</v>
      </c>
      <c r="F82" s="1">
        <v>2.0</v>
      </c>
      <c r="G82" s="2" t="s">
        <v>393</v>
      </c>
      <c r="I82" s="5" t="str">
        <f>IFERROR(__xludf.DUMMYFUNCTION("IF(C82="""","""",LOWER(TRIM(REGEXREPLACE(C82,""[^A-Za-z0-9 ]"",""""))))"),"mastercard cybersecurity")</f>
        <v>mastercard cybersecurity</v>
      </c>
      <c r="J82" s="6" t="str">
        <f>IFERROR(__xludf.DUMMYFUNCTION("IF(G82="""","""",LOWER(REGEXREPLACE(REGEXREPLACE(REGEXREPLACE(G82,""^https?://"",""""),""[?#].*$"",""""),""/+$"","""")))"),"www.theforage.com/simulations/mastercard/cybersecurity-t8ye")</f>
        <v>www.theforage.com/simulations/mastercard/cybersecurity-t8ye</v>
      </c>
      <c r="L82" s="7" t="s">
        <v>39</v>
      </c>
    </row>
    <row r="83">
      <c r="A83" s="5"/>
      <c r="B83" s="5"/>
      <c r="C83" s="1" t="s">
        <v>394</v>
      </c>
      <c r="D83" s="3" t="s">
        <v>78</v>
      </c>
      <c r="F83" s="1">
        <v>9.0</v>
      </c>
      <c r="G83" s="2" t="s">
        <v>395</v>
      </c>
      <c r="I83" s="5" t="str">
        <f>IFERROR(__xludf.DUMMYFUNCTION("IF(C83="""","""",LOWER(TRIM(REGEXREPLACE(C83,""[^A-Za-z0-9 ]"",""""))))"),"bcg data science")</f>
        <v>bcg data science</v>
      </c>
      <c r="J83" s="6" t="str">
        <f>IFERROR(__xludf.DUMMYFUNCTION("IF(G83="""","""",LOWER(REGEXREPLACE(REGEXREPLACE(REGEXREPLACE(G83,""^https?://"",""""),""[?#].*$"",""""),""/+$"","""")))"),"www.theforage.com/simulations/bcg/data-science-ccdz")</f>
        <v>www.theforage.com/simulations/bcg/data-science-ccdz</v>
      </c>
      <c r="L83" s="7" t="s">
        <v>39</v>
      </c>
    </row>
    <row r="84">
      <c r="A84" s="5"/>
      <c r="B84" s="5"/>
      <c r="C84" s="1" t="s">
        <v>398</v>
      </c>
      <c r="D84" s="3" t="s">
        <v>78</v>
      </c>
      <c r="F84" s="1" t="s">
        <v>43</v>
      </c>
      <c r="G84" s="2" t="s">
        <v>399</v>
      </c>
      <c r="I84" s="5" t="str">
        <f>IFERROR(__xludf.DUMMYFUNCTION("IF(C84="""","""",LOWER(TRIM(REGEXREPLACE(C84,""[^A-Za-z0-9 ]"",""""))))"),"tata genaipowered data analytics")</f>
        <v>tata genaipowered data analytics</v>
      </c>
      <c r="J84" s="6" t="str">
        <f>IFERROR(__xludf.DUMMYFUNCTION("IF(G84="""","""",LOWER(REGEXREPLACE(REGEXREPLACE(REGEXREPLACE(G84,""^https?://"",""""),""[?#].*$"",""""),""/+$"","""")))"),"www.theforage.com/simulations/tata/data-analytics-t3zr")</f>
        <v>www.theforage.com/simulations/tata/data-analytics-t3zr</v>
      </c>
      <c r="L84" s="7" t="s">
        <v>39</v>
      </c>
    </row>
    <row r="85">
      <c r="A85" s="5"/>
      <c r="B85" s="5"/>
      <c r="C85" s="1" t="s">
        <v>197</v>
      </c>
      <c r="D85" s="4" t="s">
        <v>92</v>
      </c>
      <c r="E85" s="1">
        <v>0.0</v>
      </c>
      <c r="F85" s="1">
        <v>25.0</v>
      </c>
      <c r="G85" s="2" t="s">
        <v>198</v>
      </c>
      <c r="I85" s="5" t="str">
        <f>IFERROR(__xludf.DUMMYFUNCTION("IF(C85="""","""",LOWER(TRIM(REGEXREPLACE(C85,""[^A-Za-z0-9 ]"",""""))))"),"oracle oci ai foundations associate")</f>
        <v>oracle oci ai foundations associate</v>
      </c>
      <c r="J85" s="6" t="str">
        <f>IFERROR(__xludf.DUMMYFUNCTION("IF(G85="""","""",LOWER(REGEXREPLACE(REGEXREPLACE(REGEXREPLACE(G85,""^https?://"",""""),""[?#].*$"",""""),""/+$"","""")))"),"learn.oracle.com/ols/learning-path/become-an-oci-ai-foundations-associate/146553/163544")</f>
        <v>learn.oracle.com/ols/learning-path/become-an-oci-ai-foundations-associate/146553/163544</v>
      </c>
      <c r="L85" s="7" t="s">
        <v>39</v>
      </c>
    </row>
    <row r="86">
      <c r="A86" s="5"/>
      <c r="B86" s="5"/>
      <c r="C86" s="1" t="s">
        <v>349</v>
      </c>
      <c r="D86" s="4" t="s">
        <v>92</v>
      </c>
      <c r="E86" s="1">
        <v>0.0</v>
      </c>
      <c r="F86" s="1" t="s">
        <v>43</v>
      </c>
      <c r="G86" s="2" t="s">
        <v>404</v>
      </c>
      <c r="I86" s="5" t="str">
        <f>IFERROR(__xludf.DUMMYFUNCTION("IF(C86="""","""",LOWER(TRIM(REGEXREPLACE(C86,""[^A-Za-z0-9 ]"",""""))))"),"github foundations")</f>
        <v>github foundations</v>
      </c>
      <c r="J86" s="6" t="str">
        <f>IFERROR(__xludf.DUMMYFUNCTION("IF(G86="""","""",LOWER(REGEXREPLACE(REGEXREPLACE(REGEXREPLACE(G86,""^https?://"",""""),""[?#].*$"",""""),""/+$"","""")))"),"examregistration.github.com/certification/ghf")</f>
        <v>examregistration.github.com/certification/ghf</v>
      </c>
      <c r="L86" s="7" t="s">
        <v>39</v>
      </c>
    </row>
    <row r="87">
      <c r="A87" s="5"/>
      <c r="B87" s="5"/>
      <c r="C87" s="1" t="s">
        <v>239</v>
      </c>
      <c r="D87" s="4" t="s">
        <v>92</v>
      </c>
      <c r="E87" s="1">
        <v>0.0</v>
      </c>
      <c r="F87" s="1">
        <v>6.0</v>
      </c>
      <c r="G87" s="2" t="s">
        <v>407</v>
      </c>
      <c r="I87" s="5" t="str">
        <f>IFERROR(__xludf.DUMMYFUNCTION("IF(C87="""","""",LOWER(TRIM(REGEXREPLACE(C87,""[^A-Za-z0-9 ]"",""""))))"),"cisco introduction to cybersecurity")</f>
        <v>cisco introduction to cybersecurity</v>
      </c>
      <c r="J87" s="6" t="str">
        <f>IFERROR(__xludf.DUMMYFUNCTION("IF(G87="""","""",LOWER(REGEXREPLACE(REGEXREPLACE(REGEXREPLACE(G87,""^https?://"",""""),""[?#].*$"",""""),""/+$"","""")))"),"www.netacad.com/courses/introduction-to-cybersecurity")</f>
        <v>www.netacad.com/courses/introduction-to-cybersecurity</v>
      </c>
      <c r="L87" s="7" t="s">
        <v>39</v>
      </c>
    </row>
    <row r="88">
      <c r="A88" s="5"/>
      <c r="B88" s="5"/>
      <c r="C88" s="1" t="s">
        <v>408</v>
      </c>
      <c r="D88" s="4" t="s">
        <v>92</v>
      </c>
      <c r="E88" s="1">
        <v>0.0</v>
      </c>
      <c r="F88" s="1">
        <v>3.0</v>
      </c>
      <c r="G88" s="2" t="s">
        <v>409</v>
      </c>
      <c r="I88" s="5" t="str">
        <f>IFERROR(__xludf.DUMMYFUNCTION("IF(C88="""","""",LOWER(TRIM(REGEXREPLACE(C88,""[^A-Za-z0-9 ]"",""""))))"),"ibm skillsbuild getting started with cybersecurity")</f>
        <v>ibm skillsbuild getting started with cybersecurity</v>
      </c>
      <c r="J88" s="6" t="str">
        <f>IFERROR(__xludf.DUMMYFUNCTION("IF(G88="""","""",LOWER(REGEXREPLACE(REGEXREPLACE(REGEXREPLACE(G88,""^https?://"",""""),""[?#].*$"",""""),""/+$"","""")))"),"skillsbuild.org/college-students/course-catalog/getting-started-with-cybersecurity")</f>
        <v>skillsbuild.org/college-students/course-catalog/getting-started-with-cybersecurity</v>
      </c>
      <c r="L88" s="7" t="s">
        <v>39</v>
      </c>
    </row>
    <row r="89">
      <c r="A89" s="5"/>
      <c r="B89" s="5"/>
      <c r="C89" s="1" t="s">
        <v>93</v>
      </c>
      <c r="D89" s="4" t="s">
        <v>92</v>
      </c>
      <c r="E89" s="1">
        <v>0.0</v>
      </c>
      <c r="F89" s="1" t="s">
        <v>43</v>
      </c>
      <c r="G89" s="4" t="s">
        <v>96</v>
      </c>
      <c r="I89" s="5" t="str">
        <f>IFERROR(__xludf.DUMMYFUNCTION("IF(C89="""","""",LOWER(TRIM(REGEXREPLACE(C89,""[^A-Za-z0-9 ]"",""""))))"),"microsoft applied skills")</f>
        <v>microsoft applied skills</v>
      </c>
      <c r="J89" s="6" t="str">
        <f>IFERROR(__xludf.DUMMYFUNCTION("IF(G89="""","""",LOWER(REGEXREPLACE(REGEXREPLACE(REGEXREPLACE(G89,""^https?://"",""""),""[?#].*$"",""""),""/+$"","""")))"),"learn.microsoft.com/en-us/credentials/applied-skills")</f>
        <v>learn.microsoft.com/en-us/credentials/applied-skills</v>
      </c>
      <c r="L89" s="7" t="s">
        <v>39</v>
      </c>
    </row>
    <row r="90">
      <c r="A90" s="5"/>
      <c r="B90" s="5"/>
      <c r="C90" s="1" t="s">
        <v>187</v>
      </c>
      <c r="D90" s="4" t="s">
        <v>92</v>
      </c>
      <c r="E90" s="1">
        <v>0.0</v>
      </c>
      <c r="F90" s="1" t="s">
        <v>43</v>
      </c>
      <c r="G90" s="2" t="s">
        <v>413</v>
      </c>
      <c r="I90" s="5" t="str">
        <f>IFERROR(__xludf.DUMMYFUNCTION("IF(C90="""","""",LOWER(TRIM(REGEXREPLACE(C90,""[^A-Za-z0-9 ]"",""""))))"),"harvard cs50 certificate")</f>
        <v>harvard cs50 certificate</v>
      </c>
      <c r="J90" s="6" t="str">
        <f>IFERROR(__xludf.DUMMYFUNCTION("IF(G90="""","""",LOWER(REGEXREPLACE(REGEXREPLACE(REGEXREPLACE(G90,""^https?://"",""""),""[?#].*$"",""""),""/+$"","""")))"),"cs50.harvard.edu/x/certificate")</f>
        <v>cs50.harvard.edu/x/certificate</v>
      </c>
      <c r="L90" s="7" t="s">
        <v>39</v>
      </c>
    </row>
    <row r="91">
      <c r="A91" s="5"/>
      <c r="B91" s="5"/>
      <c r="C91" s="1" t="s">
        <v>414</v>
      </c>
      <c r="D91" s="4" t="s">
        <v>92</v>
      </c>
      <c r="E91" s="1">
        <v>0.0</v>
      </c>
      <c r="F91" s="1" t="s">
        <v>43</v>
      </c>
      <c r="G91" s="2" t="s">
        <v>415</v>
      </c>
      <c r="I91" s="5" t="str">
        <f>IFERROR(__xludf.DUMMYFUNCTION("IF(C91="""","""",LOWER(TRIM(REGEXREPLACE(C91,""[^A-Za-z0-9 ]"",""""))))"),"hubspot inbound certification")</f>
        <v>hubspot inbound certification</v>
      </c>
      <c r="J91" s="6" t="str">
        <f>IFERROR(__xludf.DUMMYFUNCTION("IF(G91="""","""",LOWER(REGEXREPLACE(REGEXREPLACE(REGEXREPLACE(G91,""^https?://"",""""),""[?#].*$"",""""),""/+$"","""")))"),"academy.hubspot.com/courses/inbound")</f>
        <v>academy.hubspot.com/courses/inbound</v>
      </c>
      <c r="L91" s="7" t="s">
        <v>39</v>
      </c>
    </row>
    <row r="92">
      <c r="A92" s="5"/>
      <c r="B92" s="5"/>
      <c r="C92" s="1" t="s">
        <v>419</v>
      </c>
      <c r="D92" s="4" t="s">
        <v>92</v>
      </c>
      <c r="E92" s="1">
        <v>0.0</v>
      </c>
      <c r="F92" s="1">
        <v>12.0</v>
      </c>
      <c r="G92" s="2" t="s">
        <v>420</v>
      </c>
      <c r="I92" s="5" t="str">
        <f>IFERROR(__xludf.DUMMYFUNCTION("IF(C92="""","""",LOWER(TRIM(REGEXREPLACE(C92,""[^A-Za-z0-9 ]"",""""))))"),"aws cloud quest cloud practitioner")</f>
        <v>aws cloud quest cloud practitioner</v>
      </c>
      <c r="J92" s="5" t="str">
        <f>IFERROR(__xludf.DUMMYFUNCTION("IF(G92="""","""",LOWER(REGEXREPLACE(REGEXREPLACE(REGEXREPLACE(G92,""^https?://"",""""),""[?#].*$"",""""),""/+$"","""")))"),"skillbuilder.aws/learn/fu5wcyvgky/aws-cloud-quest-cloud-practitioner/jf9tku68gt")</f>
        <v>skillbuilder.aws/learn/fu5wcyvgky/aws-cloud-quest-cloud-practitioner/jf9tku68gt</v>
      </c>
      <c r="L92" s="7" t="s">
        <v>39</v>
      </c>
    </row>
    <row r="93">
      <c r="A93" s="5"/>
      <c r="B93" s="5"/>
      <c r="C93" s="1" t="s">
        <v>45</v>
      </c>
      <c r="D93" s="4" t="s">
        <v>92</v>
      </c>
      <c r="E93" s="1">
        <v>0.0</v>
      </c>
      <c r="F93" s="1">
        <v>3.0</v>
      </c>
      <c r="G93" s="2" t="s">
        <v>422</v>
      </c>
      <c r="I93" s="5" t="str">
        <f>IFERROR(__xludf.DUMMYFUNCTION("IF(C93="""","""",LOWER(TRIM(REGEXREPLACE(C93,""[^A-Za-z0-9 ]"",""""))))"),"kaggle intro to sql")</f>
        <v>kaggle intro to sql</v>
      </c>
      <c r="J93" s="6" t="str">
        <f>IFERROR(__xludf.DUMMYFUNCTION("IF(G93="""","""",LOWER(REGEXREPLACE(REGEXREPLACE(REGEXREPLACE(G93,""^https?://"",""""),""[?#].*$"",""""),""/+$"","""")))"),"www.kaggle.com/learn/intro-to-sql")</f>
        <v>www.kaggle.com/learn/intro-to-sql</v>
      </c>
      <c r="L93" s="7" t="s">
        <v>39</v>
      </c>
    </row>
    <row r="94">
      <c r="A94" s="5"/>
      <c r="B94" s="5"/>
      <c r="C94" s="1" t="s">
        <v>423</v>
      </c>
      <c r="D94" s="4" t="s">
        <v>92</v>
      </c>
      <c r="E94" s="1">
        <v>0.0</v>
      </c>
      <c r="F94" s="1">
        <v>3.0</v>
      </c>
      <c r="G94" s="2" t="s">
        <v>424</v>
      </c>
      <c r="I94" s="5" t="str">
        <f>IFERROR(__xludf.DUMMYFUNCTION("IF(C94="""","""",LOWER(TRIM(REGEXREPLACE(C94,""[^A-Za-z0-9 ]"",""""))))"),"kaggle intro to machine learning")</f>
        <v>kaggle intro to machine learning</v>
      </c>
      <c r="J94" s="6" t="str">
        <f>IFERROR(__xludf.DUMMYFUNCTION("IF(G94="""","""",LOWER(REGEXREPLACE(REGEXREPLACE(REGEXREPLACE(G94,""^https?://"",""""),""[?#].*$"",""""),""/+$"","""")))"),"www.kaggle.com/learn/intro-to-machine-learning")</f>
        <v>www.kaggle.com/learn/intro-to-machine-learning</v>
      </c>
      <c r="L94" s="7" t="s">
        <v>39</v>
      </c>
    </row>
    <row r="95">
      <c r="A95" s="5"/>
      <c r="B95" s="5"/>
      <c r="C95" s="1" t="s">
        <v>52</v>
      </c>
      <c r="D95" s="4" t="s">
        <v>92</v>
      </c>
      <c r="E95" s="1">
        <v>0.0</v>
      </c>
      <c r="F95" s="1">
        <v>5.0</v>
      </c>
      <c r="G95" s="2" t="s">
        <v>426</v>
      </c>
      <c r="I95" s="5" t="str">
        <f>IFERROR(__xludf.DUMMYFUNCTION("IF(C95="""","""",LOWER(TRIM(REGEXREPLACE(C95,""[^A-Za-z0-9 ]"",""""))))"),"kaggle python pandas")</f>
        <v>kaggle python pandas</v>
      </c>
      <c r="J95" s="6" t="str">
        <f>IFERROR(__xludf.DUMMYFUNCTION("IF(G95="""","""",LOWER(REGEXREPLACE(REGEXREPLACE(REGEXREPLACE(G95,""^https?://"",""""),""[?#].*$"",""""),""/+$"","""")))"),"www.kaggle.com/learn/python")</f>
        <v>www.kaggle.com/learn/python</v>
      </c>
      <c r="L95" s="7" t="s">
        <v>39</v>
      </c>
    </row>
    <row r="96">
      <c r="A96" s="5"/>
      <c r="B96" s="5"/>
      <c r="C96" s="1" t="s">
        <v>330</v>
      </c>
      <c r="D96" s="4" t="s">
        <v>92</v>
      </c>
      <c r="E96" s="1">
        <v>0.0</v>
      </c>
      <c r="F96" s="1">
        <v>1.0</v>
      </c>
      <c r="G96" s="4" t="s">
        <v>331</v>
      </c>
      <c r="I96" s="5" t="str">
        <f>IFERROR(__xludf.DUMMYFUNCTION("IF(C96="""","""",LOWER(TRIM(REGEXREPLACE(C96,""[^A-Za-z0-9 ]"",""""))))"),"databricks lakehouse fundamentals")</f>
        <v>databricks lakehouse fundamentals</v>
      </c>
      <c r="J96" s="6" t="str">
        <f>IFERROR(__xludf.DUMMYFUNCTION("IF(G96="""","""",LOWER(REGEXREPLACE(REGEXREPLACE(REGEXREPLACE(G96,""^https?://"",""""),""[?#].*$"",""""),""/+$"","""")))"),"www.databricks.com/learn/certification/lakehouse-platform-fundamentals")</f>
        <v>www.databricks.com/learn/certification/lakehouse-platform-fundamentals</v>
      </c>
      <c r="L96" s="7" t="s">
        <v>39</v>
      </c>
    </row>
    <row r="97">
      <c r="A97" s="5"/>
      <c r="B97" s="5"/>
      <c r="C97" s="1" t="s">
        <v>334</v>
      </c>
      <c r="D97" s="4" t="s">
        <v>92</v>
      </c>
      <c r="E97" s="1">
        <v>0.0</v>
      </c>
      <c r="F97" s="1">
        <v>1.5</v>
      </c>
      <c r="G97" s="2" t="s">
        <v>430</v>
      </c>
      <c r="I97" s="5" t="str">
        <f>IFERROR(__xludf.DUMMYFUNCTION("IF(C97="""","""",LOWER(TRIM(REGEXREPLACE(C97,""[^A-Za-z0-9 ]"",""""))))"),"databricks ai agent fundamentals")</f>
        <v>databricks ai agent fundamentals</v>
      </c>
      <c r="J97" s="6" t="str">
        <f>IFERROR(__xludf.DUMMYFUNCTION("IF(G97="""","""",LOWER(REGEXREPLACE(REGEXREPLACE(REGEXREPLACE(G97,""^https?://"",""""),""[?#].*$"",""""),""/+$"","""")))"),"www.databricks.com/learn/training/certification")</f>
        <v>www.databricks.com/learn/training/certification</v>
      </c>
      <c r="L97" s="7" t="s">
        <v>39</v>
      </c>
    </row>
    <row r="98">
      <c r="A98" s="5"/>
      <c r="B98" s="5"/>
      <c r="C98" s="1" t="s">
        <v>151</v>
      </c>
      <c r="D98" s="4" t="s">
        <v>92</v>
      </c>
      <c r="E98" s="1">
        <v>0.0</v>
      </c>
      <c r="F98" s="1">
        <v>10.0</v>
      </c>
      <c r="G98" s="2" t="s">
        <v>433</v>
      </c>
      <c r="I98" s="5" t="str">
        <f>IFERROR(__xludf.DUMMYFUNCTION("IF(C98="""","""",LOWER(TRIM(REGEXREPLACE(C98,""[^A-Za-z0-9 ]"",""""))))"),"ibm skillsbuild cloud computing fundamentals")</f>
        <v>ibm skillsbuild cloud computing fundamentals</v>
      </c>
      <c r="J98" s="6" t="str">
        <f>IFERROR(__xludf.DUMMYFUNCTION("IF(G98="""","""",LOWER(REGEXREPLACE(REGEXREPLACE(REGEXREPLACE(G98,""^https?://"",""""),""[?#].*$"",""""),""/+$"","""")))"),"skillsbuild.org/college-students/course-catalog")</f>
        <v>skillsbuild.org/college-students/course-catalog</v>
      </c>
      <c r="L98" s="7" t="s">
        <v>39</v>
      </c>
    </row>
    <row r="99">
      <c r="A99" s="5"/>
      <c r="B99" s="5"/>
      <c r="C99" s="1" t="s">
        <v>435</v>
      </c>
      <c r="D99" s="4" t="s">
        <v>92</v>
      </c>
      <c r="E99" s="1">
        <v>0.0</v>
      </c>
      <c r="F99" s="1" t="s">
        <v>43</v>
      </c>
      <c r="G99" s="2" t="s">
        <v>437</v>
      </c>
      <c r="I99" s="5" t="str">
        <f>IFERROR(__xludf.DUMMYFUNCTION("IF(C99="""","""",LOWER(TRIM(REGEXREPLACE(C99,""[^A-Za-z0-9 ]"",""""))))"),"google cloud skill badge onemonth")</f>
        <v>google cloud skill badge onemonth</v>
      </c>
      <c r="J99" s="6" t="str">
        <f>IFERROR(__xludf.DUMMYFUNCTION("IF(G99="""","""",LOWER(REGEXREPLACE(REGEXREPLACE(REGEXREPLACE(G99,""^https?://"",""""),""[?#].*$"",""""),""/+$"","""")))"),"www.skills.google")</f>
        <v>www.skills.google</v>
      </c>
      <c r="L99" s="7" t="s">
        <v>39</v>
      </c>
    </row>
    <row r="100">
      <c r="A100" s="5"/>
      <c r="B100" s="5"/>
      <c r="C100" s="1" t="s">
        <v>204</v>
      </c>
      <c r="D100" s="4" t="s">
        <v>92</v>
      </c>
      <c r="E100" s="1">
        <v>0.0</v>
      </c>
      <c r="F100" s="1">
        <v>13.0</v>
      </c>
      <c r="G100" s="2" t="s">
        <v>222</v>
      </c>
      <c r="I100" s="5" t="str">
        <f>IFERROR(__xludf.DUMMYFUNCTION("IF(C100="""","""",LOWER(TRIM(REGEXREPLACE(C100,""[^A-Za-z0-9 ]"",""""))))"),"aws cloud practitioner essentials")</f>
        <v>aws cloud practitioner essentials</v>
      </c>
      <c r="J100" s="5" t="str">
        <f>IFERROR(__xludf.DUMMYFUNCTION("IF(G100="""","""",LOWER(REGEXREPLACE(REGEXREPLACE(REGEXREPLACE(G100,""^https?://"",""""),""[?#].*$"",""""),""/+$"","""")))"),"skillbuilder.aws/learn/fu5wcyvgky/aws-cloud-quest-cloud-practitioner/jf9tku68gt")</f>
        <v>skillbuilder.aws/learn/fu5wcyvgky/aws-cloud-quest-cloud-practitioner/jf9tku68gt</v>
      </c>
      <c r="L100" s="7" t="s">
        <v>39</v>
      </c>
    </row>
    <row r="101">
      <c r="A101" s="5"/>
      <c r="B101" s="5"/>
      <c r="C101" s="1" t="s">
        <v>242</v>
      </c>
      <c r="D101" s="4" t="s">
        <v>92</v>
      </c>
      <c r="E101" s="1">
        <v>0.0</v>
      </c>
      <c r="F101" s="1">
        <v>6.0</v>
      </c>
      <c r="G101" s="2" t="s">
        <v>439</v>
      </c>
      <c r="I101" s="5" t="str">
        <f>IFERROR(__xludf.DUMMYFUNCTION("IF(C101="""","""",LOWER(TRIM(REGEXREPLACE(C101,""[^A-Za-z0-9 ]"",""""))))"),"cisco introduction to iot and digital transformation")</f>
        <v>cisco introduction to iot and digital transformation</v>
      </c>
      <c r="J101" s="6" t="str">
        <f>IFERROR(__xludf.DUMMYFUNCTION("IF(G101="""","""",LOWER(REGEXREPLACE(REGEXREPLACE(REGEXREPLACE(G101,""^https?://"",""""),""[?#].*$"",""""),""/+$"","""")))"),"www.netacad.com/courses/introduction-iot")</f>
        <v>www.netacad.com/courses/introduction-iot</v>
      </c>
      <c r="L101" s="7" t="s">
        <v>39</v>
      </c>
    </row>
    <row r="102">
      <c r="A102" s="5"/>
      <c r="B102" s="5"/>
      <c r="C102" s="1" t="s">
        <v>244</v>
      </c>
      <c r="D102" s="4" t="s">
        <v>92</v>
      </c>
      <c r="E102" s="1">
        <v>0.0</v>
      </c>
      <c r="F102" s="1">
        <v>22.0</v>
      </c>
      <c r="G102" s="2" t="s">
        <v>441</v>
      </c>
      <c r="I102" s="5" t="str">
        <f>IFERROR(__xludf.DUMMYFUNCTION("IF(C102="""","""",LOWER(TRIM(REGEXREPLACE(C102,""[^A-Za-z0-9 ]"",""""))))"),"cisco networking basics")</f>
        <v>cisco networking basics</v>
      </c>
      <c r="J102" s="6" t="str">
        <f>IFERROR(__xludf.DUMMYFUNCTION("IF(G102="""","""",LOWER(REGEXREPLACE(REGEXREPLACE(REGEXREPLACE(G102,""^https?://"",""""),""[?#].*$"",""""),""/+$"","""")))"),"www.netacad.com/courses/networking-basics")</f>
        <v>www.netacad.com/courses/networking-basics</v>
      </c>
      <c r="L102" s="7" t="s">
        <v>39</v>
      </c>
    </row>
    <row r="103">
      <c r="A103" s="5"/>
      <c r="B103" s="5"/>
      <c r="C103" s="1" t="s">
        <v>443</v>
      </c>
      <c r="D103" s="4" t="s">
        <v>92</v>
      </c>
      <c r="E103" s="1">
        <v>0.0</v>
      </c>
      <c r="F103" s="1">
        <v>3.5</v>
      </c>
      <c r="G103" s="2" t="s">
        <v>444</v>
      </c>
      <c r="I103" s="5" t="str">
        <f>IFERROR(__xludf.DUMMYFUNCTION("IF(C103="""","""",LOWER(TRIM(REGEXREPLACE(C103,""[^A-Za-z0-9 ]"",""""))))"),"hubspot digital marketing certification")</f>
        <v>hubspot digital marketing certification</v>
      </c>
      <c r="J103" s="6" t="str">
        <f>IFERROR(__xludf.DUMMYFUNCTION("IF(G103="""","""",LOWER(REGEXREPLACE(REGEXREPLACE(REGEXREPLACE(G103,""^https?://"",""""),""[?#].*$"",""""),""/+$"","""")))"),"academy.hubspot.com/courses/digital-marketing")</f>
        <v>academy.hubspot.com/courses/digital-marketing</v>
      </c>
      <c r="L103" s="7" t="s">
        <v>39</v>
      </c>
    </row>
    <row r="104">
      <c r="A104" s="5"/>
      <c r="B104" s="5"/>
      <c r="C104" s="1" t="s">
        <v>378</v>
      </c>
      <c r="D104" s="4" t="s">
        <v>92</v>
      </c>
      <c r="E104" s="1">
        <v>0.0</v>
      </c>
      <c r="F104" s="1">
        <v>1.0</v>
      </c>
      <c r="G104" s="2" t="s">
        <v>446</v>
      </c>
      <c r="I104" s="5" t="str">
        <f>IFERROR(__xludf.DUMMYFUNCTION("IF(C104="""","""",LOWER(TRIM(REGEXREPLACE(C104,""[^A-Za-z0-9 ]"",""""))))"),"salesforce trailhead badges")</f>
        <v>salesforce trailhead badges</v>
      </c>
      <c r="J104" s="6" t="str">
        <f>IFERROR(__xludf.DUMMYFUNCTION("IF(G104="""","""",LOWER(REGEXREPLACE(REGEXREPLACE(REGEXREPLACE(G104,""^https?://"",""""),""[?#].*$"",""""),""/+$"","""")))"),"trailhead.salesforce.com")</f>
        <v>trailhead.salesforce.com</v>
      </c>
      <c r="L104" s="7" t="s">
        <v>39</v>
      </c>
    </row>
    <row r="105">
      <c r="A105" s="5"/>
      <c r="B105" s="5"/>
      <c r="C105" s="1" t="s">
        <v>369</v>
      </c>
      <c r="D105" s="4" t="s">
        <v>92</v>
      </c>
      <c r="E105" s="1">
        <v>0.0</v>
      </c>
      <c r="F105" s="1">
        <v>3.0</v>
      </c>
      <c r="G105" s="2" t="s">
        <v>449</v>
      </c>
      <c r="I105" s="5" t="str">
        <f>IFERROR(__xludf.DUMMYFUNCTION("IF(C105="""","""",LOWER(TRIM(REGEXREPLACE(C105,""[^A-Za-z0-9 ]"",""""))))"),"fortinet nse 1 in cybersecurity")</f>
        <v>fortinet nse 1 in cybersecurity</v>
      </c>
      <c r="J105" s="6" t="str">
        <f>IFERROR(__xludf.DUMMYFUNCTION("IF(G105="""","""",LOWER(REGEXREPLACE(REGEXREPLACE(REGEXREPLACE(G105,""^https?://"",""""),""[?#].*$"",""""),""/+$"","""")))"),"training.fortinet.com/local/staticpage/view.php")</f>
        <v>training.fortinet.com/local/staticpage/view.php</v>
      </c>
      <c r="L105" s="7" t="s">
        <v>39</v>
      </c>
    </row>
    <row r="106">
      <c r="A106" s="5"/>
      <c r="B106" s="5"/>
      <c r="C106" s="1" t="s">
        <v>372</v>
      </c>
      <c r="D106" s="4" t="s">
        <v>92</v>
      </c>
      <c r="E106" s="1">
        <v>0.0</v>
      </c>
      <c r="F106" s="1" t="s">
        <v>43</v>
      </c>
      <c r="G106" s="2" t="s">
        <v>452</v>
      </c>
      <c r="I106" s="5" t="str">
        <f>IFERROR(__xludf.DUMMYFUNCTION("IF(C106="""","""",LOWER(TRIM(REGEXREPLACE(C106,""[^A-Za-z0-9 ]"",""""))))"),"fortinet nse 2")</f>
        <v>fortinet nse 2</v>
      </c>
      <c r="J106" s="6" t="str">
        <f>IFERROR(__xludf.DUMMYFUNCTION("IF(G106="""","""",LOWER(REGEXREPLACE(REGEXREPLACE(REGEXREPLACE(G106,""^https?://"",""""),""[?#].*$"",""""),""/+$"","""")))"),"training.fortinet.com/local/staticpage/view.php")</f>
        <v>training.fortinet.com/local/staticpage/view.php</v>
      </c>
      <c r="L106" s="7" t="s">
        <v>39</v>
      </c>
    </row>
    <row r="107">
      <c r="A107" s="5"/>
      <c r="B107" s="5"/>
      <c r="C107" s="1" t="s">
        <v>376</v>
      </c>
      <c r="D107" s="4" t="s">
        <v>92</v>
      </c>
      <c r="E107" s="1">
        <v>0.0</v>
      </c>
      <c r="G107" s="2" t="s">
        <v>455</v>
      </c>
      <c r="I107" s="5" t="str">
        <f>IFERROR(__xludf.DUMMYFUNCTION("IF(C107="""","""",LOWER(TRIM(REGEXREPLACE(C107,""[^A-Za-z0-9 ]"",""""))))"),"fortinet nse 3 fortigate operator")</f>
        <v>fortinet nse 3 fortigate operator</v>
      </c>
      <c r="J107" s="6" t="str">
        <f>IFERROR(__xludf.DUMMYFUNCTION("IF(G107="""","""",LOWER(REGEXREPLACE(REGEXREPLACE(REGEXREPLACE(G107,""^https?://"",""""),""[?#].*$"",""""),""/+$"","""")))"),"training.fortinet.com/local/staticpage/view.php")</f>
        <v>training.fortinet.com/local/staticpage/view.php</v>
      </c>
      <c r="L107" s="7" t="s">
        <v>39</v>
      </c>
    </row>
    <row r="108">
      <c r="A108" s="5"/>
      <c r="B108" s="5"/>
      <c r="C108" s="1" t="s">
        <v>383</v>
      </c>
      <c r="D108" s="4" t="s">
        <v>92</v>
      </c>
      <c r="E108" s="1">
        <v>0.0</v>
      </c>
      <c r="F108" s="1">
        <v>12.0</v>
      </c>
      <c r="G108" s="2" t="s">
        <v>457</v>
      </c>
      <c r="I108" s="5" t="str">
        <f>IFERROR(__xludf.DUMMYFUNCTION("IF(C108="""","""",LOWER(TRIM(REGEXREPLACE(C108,""[^A-Za-z0-9 ]"",""""))))"),"snowflake handson essentials data warehousing workshop")</f>
        <v>snowflake handson essentials data warehousing workshop</v>
      </c>
      <c r="J108" s="6" t="str">
        <f>IFERROR(__xludf.DUMMYFUNCTION("IF(G108="""","""",LOWER(REGEXREPLACE(REGEXREPLACE(REGEXREPLACE(G108,""^https?://"",""""),""[?#].*$"",""""),""/+$"","""")))"),"learn.snowflake.com/en/courses/od-ess-dww")</f>
        <v>learn.snowflake.com/en/courses/od-ess-dww</v>
      </c>
      <c r="L108" s="7" t="s">
        <v>39</v>
      </c>
    </row>
    <row r="109">
      <c r="A109" s="5"/>
      <c r="B109" s="5"/>
      <c r="C109" s="1" t="s">
        <v>282</v>
      </c>
      <c r="D109" s="4" t="s">
        <v>92</v>
      </c>
      <c r="E109" s="1">
        <v>0.0</v>
      </c>
      <c r="F109" s="1" t="s">
        <v>43</v>
      </c>
      <c r="G109" s="2" t="s">
        <v>459</v>
      </c>
      <c r="I109" s="5" t="str">
        <f>IFERROR(__xludf.DUMMYFUNCTION("IF(C109="""","""",LOWER(TRIM(REGEXREPLACE(C109,""[^A-Za-z0-9 ]"",""""))))"),"oracle oci architect associate")</f>
        <v>oracle oci architect associate</v>
      </c>
      <c r="J109" s="6" t="str">
        <f>IFERROR(__xludf.DUMMYFUNCTION("IF(G109="""","""",LOWER(REGEXREPLACE(REGEXREPLACE(REGEXREPLACE(G109,""^https?://"",""""),""[?#].*$"",""""),""/+$"","""")))"),"blogs.oracle.com/oracleuniversity/oci-certification-learning-paths-and-exams-2026-updates-now-available")</f>
        <v>blogs.oracle.com/oracleuniversity/oci-certification-learning-paths-and-exams-2026-updates-now-available</v>
      </c>
      <c r="L109" s="7" t="s">
        <v>39</v>
      </c>
    </row>
    <row r="110">
      <c r="A110" s="5"/>
      <c r="B110" s="5"/>
      <c r="C110" s="1" t="s">
        <v>460</v>
      </c>
      <c r="D110" s="4" t="s">
        <v>92</v>
      </c>
      <c r="E110" s="1">
        <v>0.0</v>
      </c>
      <c r="F110" s="1">
        <v>300.0</v>
      </c>
      <c r="G110" s="2" t="s">
        <v>249</v>
      </c>
      <c r="I110" s="5" t="str">
        <f>IFERROR(__xludf.DUMMYFUNCTION("IF(C110="""","""",LOWER(TRIM(REGEXREPLACE(C110,""[^A-Za-z0-9 ]"",""""))))"),"freecodecamp responsive web design")</f>
        <v>freecodecamp responsive web design</v>
      </c>
      <c r="J110" s="6" t="str">
        <f>IFERROR(__xludf.DUMMYFUNCTION("IF(G110="""","""",LOWER(REGEXREPLACE(REGEXREPLACE(REGEXREPLACE(G110,""^https?://"",""""),""[?#].*$"",""""),""/+$"","""")))"),"www.freecodecamp.org/learn/responsive-web-design-v9")</f>
        <v>www.freecodecamp.org/learn/responsive-web-design-v9</v>
      </c>
      <c r="L110" s="7" t="s">
        <v>39</v>
      </c>
    </row>
    <row r="111">
      <c r="A111" s="5"/>
      <c r="B111" s="5"/>
      <c r="C111" s="1" t="s">
        <v>396</v>
      </c>
      <c r="D111" s="4" t="s">
        <v>92</v>
      </c>
      <c r="E111" s="1">
        <v>0.0</v>
      </c>
      <c r="F111" s="1">
        <v>300.0</v>
      </c>
      <c r="G111" s="2" t="s">
        <v>397</v>
      </c>
      <c r="L111" s="7" t="s">
        <v>39</v>
      </c>
    </row>
    <row r="112">
      <c r="A112" s="5"/>
      <c r="B112" s="5"/>
      <c r="C112" s="1" t="s">
        <v>400</v>
      </c>
      <c r="D112" s="4" t="s">
        <v>92</v>
      </c>
      <c r="E112" s="1">
        <v>0.0</v>
      </c>
      <c r="F112" s="1" t="s">
        <v>43</v>
      </c>
      <c r="G112" s="2" t="s">
        <v>461</v>
      </c>
      <c r="I112" s="5" t="str">
        <f>IFERROR(__xludf.DUMMYFUNCTION("IF(C112="""","""",LOWER(TRIM(REGEXREPLACE(C112,""[^A-Za-z0-9 ]"",""""))))"),"palo alto networks cybersecurity academy fundamentals courses")</f>
        <v>palo alto networks cybersecurity academy fundamentals courses</v>
      </c>
      <c r="J112" s="6" t="str">
        <f>IFERROR(__xludf.DUMMYFUNCTION("IF(G112="""","""",LOWER(REGEXREPLACE(REGEXREPLACE(REGEXREPLACE(G112,""^https?://"",""""),""[?#].*$"",""""),""/+$"","""")))"),"www.paloaltonetworks.com/services/education/academy/learner")</f>
        <v>www.paloaltonetworks.com/services/education/academy/learner</v>
      </c>
      <c r="L112" s="7" t="s">
        <v>39</v>
      </c>
    </row>
    <row r="113">
      <c r="A113" s="5"/>
      <c r="B113" s="5"/>
      <c r="C113" s="1" t="s">
        <v>343</v>
      </c>
      <c r="D113" s="1" t="s">
        <v>116</v>
      </c>
      <c r="E113" s="1" t="s">
        <v>43</v>
      </c>
      <c r="F113" s="1" t="s">
        <v>43</v>
      </c>
      <c r="G113" s="2" t="s">
        <v>462</v>
      </c>
      <c r="I113" s="5" t="str">
        <f>IFERROR(__xludf.DUMMYFUNCTION("IF(C113="""","""",LOWER(TRIM(REGEXREPLACE(C113,""[^A-Za-z0-9 ]"",""""))))"),"canva work smarter with ai")</f>
        <v>canva work smarter with ai</v>
      </c>
      <c r="J113" s="6" t="str">
        <f>IFERROR(__xludf.DUMMYFUNCTION("IF(G113="""","""",LOWER(REGEXREPLACE(REGEXREPLACE(REGEXREPLACE(G113,""^https?://"",""""),""[?#].*$"",""""),""/+$"","""")))"),"www.canva.com/en/design-school/courses")</f>
        <v>www.canva.com/en/design-school/courses</v>
      </c>
      <c r="L113" s="7" t="s">
        <v>39</v>
      </c>
    </row>
    <row r="114">
      <c r="A114" s="5"/>
      <c r="B114" s="5"/>
      <c r="C114" s="1" t="s">
        <v>295</v>
      </c>
      <c r="D114" s="1" t="s">
        <v>116</v>
      </c>
      <c r="F114" s="1" t="s">
        <v>43</v>
      </c>
      <c r="G114" s="4" t="s">
        <v>297</v>
      </c>
      <c r="I114" s="5" t="str">
        <f>IFERROR(__xludf.DUMMYFUNCTION("IF(C114="""","""",LOWER(TRIM(REGEXREPLACE(C114,""[^A-Za-z0-9 ]"",""""))))"),"openai ai foundations")</f>
        <v>openai ai foundations</v>
      </c>
      <c r="J114" s="6" t="str">
        <f>IFERROR(__xludf.DUMMYFUNCTION("IF(G114="""","""",LOWER(REGEXREPLACE(REGEXREPLACE(REGEXREPLACE(G114,""^https?://"",""""),""[?#].*$"",""""),""/+$"","""")))"),"academy.openai.com/public/courses/ai-foundations-dnq5w")</f>
        <v>academy.openai.com/public/courses/ai-foundations-dnq5w</v>
      </c>
      <c r="L114" s="7" t="s">
        <v>39</v>
      </c>
    </row>
    <row r="115">
      <c r="A115" s="5"/>
      <c r="B115" s="5"/>
      <c r="C115" s="1" t="s">
        <v>326</v>
      </c>
      <c r="D115" s="1" t="s">
        <v>116</v>
      </c>
      <c r="F115" s="1" t="s">
        <v>43</v>
      </c>
      <c r="G115" s="2" t="s">
        <v>327</v>
      </c>
      <c r="I115" s="5" t="str">
        <f>IFERROR(__xludf.DUMMYFUNCTION("IF(C115="""","""",LOWER(TRIM(REGEXREPLACE(C115,""[^A-Za-z0-9 ]"",""""))))"),"generative ai fundamentals accreditation")</f>
        <v>generative ai fundamentals accreditation</v>
      </c>
      <c r="J115" s="6" t="str">
        <f>IFERROR(__xludf.DUMMYFUNCTION("IF(G115="""","""",LOWER(REGEXREPLACE(REGEXREPLACE(REGEXREPLACE(G115,""^https?://"",""""),""[?#].*$"",""""),""/+$"","""")))"),"customer-academy.databricks.com/learn/courses/1811/generative-ai-fundamentals-accreditation")</f>
        <v>customer-academy.databricks.com/learn/courses/1811/generative-ai-fundamentals-accreditation</v>
      </c>
      <c r="L115" s="7" t="s">
        <v>39</v>
      </c>
    </row>
    <row r="116">
      <c r="A116" s="5"/>
      <c r="B116" s="5"/>
      <c r="C116" s="1" t="s">
        <v>246</v>
      </c>
      <c r="D116" s="1" t="s">
        <v>116</v>
      </c>
      <c r="F116" s="1" t="s">
        <v>43</v>
      </c>
      <c r="G116" s="2" t="s">
        <v>463</v>
      </c>
      <c r="I116" s="5" t="str">
        <f>IFERROR(__xludf.DUMMYFUNCTION("IF(C116="""","""",LOWER(TRIM(REGEXREPLACE(C116,""[^A-Za-z0-9 ]"",""""))))"),"cisco introduction to modern ai")</f>
        <v>cisco introduction to modern ai</v>
      </c>
      <c r="J116" s="6" t="str">
        <f>IFERROR(__xludf.DUMMYFUNCTION("IF(G116="""","""",LOWER(REGEXREPLACE(REGEXREPLACE(REGEXREPLACE(G116,""^https?://"",""""),""[?#].*$"",""""),""/+$"","""")))"),"go.netacad.com/intro-to-modern-ai_registration.html")</f>
        <v>go.netacad.com/intro-to-modern-ai_registration.html</v>
      </c>
      <c r="L116" s="7" t="s">
        <v>39</v>
      </c>
    </row>
    <row r="117">
      <c r="A117" s="5"/>
      <c r="B117" s="5"/>
      <c r="C117" s="1" t="s">
        <v>272</v>
      </c>
      <c r="D117" s="1" t="s">
        <v>116</v>
      </c>
      <c r="F117" s="1" t="s">
        <v>43</v>
      </c>
      <c r="G117" s="2" t="s">
        <v>273</v>
      </c>
      <c r="I117" s="5" t="str">
        <f>IFERROR(__xludf.DUMMYFUNCTION("IF(C117="""","""",LOWER(TRIM(REGEXREPLACE(C117,""[^A-Za-z0-9 ]"",""""))))"),"cs50s introduction to artificial intelligence with python")</f>
        <v>cs50s introduction to artificial intelligence with python</v>
      </c>
      <c r="J117" s="6" t="str">
        <f>IFERROR(__xludf.DUMMYFUNCTION("IF(G117="""","""",LOWER(REGEXREPLACE(REGEXREPLACE(REGEXREPLACE(G117,""^https?://"",""""),""[?#].*$"",""""),""/+$"","""")))"),"pll.harvard.edu/course/cs50s-introduction-artificial-intelligence-python")</f>
        <v>pll.harvard.edu/course/cs50s-introduction-artificial-intelligence-python</v>
      </c>
      <c r="L117" s="7" t="s">
        <v>39</v>
      </c>
    </row>
    <row r="118">
      <c r="A118" s="5"/>
      <c r="B118" s="5"/>
      <c r="C118" s="1" t="s">
        <v>206</v>
      </c>
      <c r="D118" s="1" t="s">
        <v>116</v>
      </c>
      <c r="E118" s="1">
        <v>0.0</v>
      </c>
      <c r="F118" s="1" t="s">
        <v>43</v>
      </c>
      <c r="G118" s="2" t="s">
        <v>207</v>
      </c>
      <c r="I118" s="5" t="str">
        <f>IFERROR(__xludf.DUMMYFUNCTION("IF(C118="""","""",LOWER(TRIM(REGEXREPLACE(C118,""[^A-Za-z0-9 ]"",""""))))"),"google introduction to generative ai")</f>
        <v>google introduction to generative ai</v>
      </c>
      <c r="J118" s="6" t="str">
        <f>IFERROR(__xludf.DUMMYFUNCTION("IF(G118="""","""",LOWER(REGEXREPLACE(REGEXREPLACE(REGEXREPLACE(G118,""^https?://"",""""),""[?#].*$"",""""),""/+$"","""")))"),"www.cloudskillsboost.google/course_templates/536")</f>
        <v>www.cloudskillsboost.google/course_templates/536</v>
      </c>
      <c r="L118" s="7" t="s">
        <v>39</v>
      </c>
    </row>
    <row r="119">
      <c r="A119" s="5"/>
      <c r="B119" s="5"/>
      <c r="C119" s="1" t="s">
        <v>464</v>
      </c>
      <c r="D119" s="1" t="s">
        <v>116</v>
      </c>
      <c r="E119" s="1">
        <v>0.0</v>
      </c>
      <c r="F119" s="1" t="s">
        <v>43</v>
      </c>
      <c r="G119" s="2" t="s">
        <v>60</v>
      </c>
      <c r="I119" s="5" t="str">
        <f>IFERROR(__xludf.DUMMYFUNCTION("IF(C119="""","""",LOWER(TRIM(REGEXREPLACE(C119,""[^A-Za-z0-9 ]"",""""))))"),"ai fluency framework foundations")</f>
        <v>ai fluency framework foundations</v>
      </c>
      <c r="J119" s="6" t="str">
        <f>IFERROR(__xludf.DUMMYFUNCTION("IF(G119="""","""",LOWER(REGEXREPLACE(REGEXREPLACE(REGEXREPLACE(G119,""^https?://"",""""),""[?#].*$"",""""),""/+$"","""")))"),"anthropic.skilljar.com/ai-fluency-framework-foundations")</f>
        <v>anthropic.skilljar.com/ai-fluency-framework-foundations</v>
      </c>
      <c r="L119" s="7" t="s">
        <v>39</v>
      </c>
    </row>
    <row r="120">
      <c r="A120" s="5"/>
      <c r="B120" s="5"/>
      <c r="C120" s="1" t="s">
        <v>465</v>
      </c>
      <c r="D120" s="1" t="s">
        <v>116</v>
      </c>
      <c r="F120" s="1" t="s">
        <v>43</v>
      </c>
      <c r="G120" s="2" t="s">
        <v>96</v>
      </c>
      <c r="I120" s="5" t="str">
        <f>IFERROR(__xludf.DUMMYFUNCTION("IF(C120="""","""",LOWER(TRIM(REGEXREPLACE(C120,""[^A-Za-z0-9 ]"",""""))))"),"microsoft applied skills")</f>
        <v>microsoft applied skills</v>
      </c>
      <c r="J120" s="6" t="str">
        <f>IFERROR(__xludf.DUMMYFUNCTION("IF(G120="""","""",LOWER(REGEXREPLACE(REGEXREPLACE(REGEXREPLACE(G120,""^https?://"",""""),""[?#].*$"",""""),""/+$"","""")))"),"learn.microsoft.com/en-us/credentials/applied-skills")</f>
        <v>learn.microsoft.com/en-us/credentials/applied-skills</v>
      </c>
      <c r="L120" s="7" t="s">
        <v>39</v>
      </c>
    </row>
    <row r="121">
      <c r="A121" s="5"/>
      <c r="B121" s="5"/>
      <c r="C121" s="1" t="s">
        <v>365</v>
      </c>
      <c r="D121" s="1" t="s">
        <v>116</v>
      </c>
      <c r="F121" s="1" t="s">
        <v>43</v>
      </c>
      <c r="G121" s="2" t="s">
        <v>366</v>
      </c>
      <c r="I121" s="5" t="str">
        <f>IFERROR(__xludf.DUMMYFUNCTION("IF(C121="""","""",LOWER(TRIM(REGEXREPLACE(C121,""[^A-Za-z0-9 ]"",""""))))"),"meta blueprint")</f>
        <v>meta blueprint</v>
      </c>
      <c r="J121" s="6" t="str">
        <f>IFERROR(__xludf.DUMMYFUNCTION("IF(G121="""","""",LOWER(REGEXREPLACE(REGEXREPLACE(REGEXREPLACE(G121,""^https?://"",""""),""[?#].*$"",""""),""/+$"","""")))"),"www.facebookblueprint.com/student/catalog")</f>
        <v>www.facebookblueprint.com/student/catalog</v>
      </c>
      <c r="L121" s="7" t="s">
        <v>39</v>
      </c>
    </row>
    <row r="122">
      <c r="A122" s="5"/>
      <c r="B122" s="5"/>
      <c r="C122" s="1" t="s">
        <v>466</v>
      </c>
      <c r="D122" s="1" t="s">
        <v>116</v>
      </c>
      <c r="F122" s="1" t="s">
        <v>43</v>
      </c>
      <c r="G122" s="2" t="s">
        <v>467</v>
      </c>
      <c r="I122" s="5" t="str">
        <f>IFERROR(__xludf.DUMMYFUNCTION("IF(C122="""","""",LOWER(TRIM(REGEXREPLACE(C122,""[^A-Za-z0-9 ]"",""""))))"),"deloitte data analytics job simulation")</f>
        <v>deloitte data analytics job simulation</v>
      </c>
      <c r="J122" s="6" t="str">
        <f>IFERROR(__xludf.DUMMYFUNCTION("IF(G122="""","""",LOWER(REGEXREPLACE(REGEXREPLACE(REGEXREPLACE(G122,""^https?://"",""""),""[?#].*$"",""""),""/+$"","""")))"),"www.theforage.com/simulations/deloitte-au/data-analytics-s5zy")</f>
        <v>www.theforage.com/simulations/deloitte-au/data-analytics-s5zy</v>
      </c>
      <c r="L122" s="7" t="s">
        <v>39</v>
      </c>
    </row>
    <row r="123">
      <c r="A123" s="5"/>
      <c r="B123" s="5"/>
      <c r="C123" s="1" t="s">
        <v>359</v>
      </c>
      <c r="D123" s="1" t="s">
        <v>116</v>
      </c>
      <c r="F123" s="1" t="s">
        <v>43</v>
      </c>
      <c r="G123" s="2" t="s">
        <v>361</v>
      </c>
      <c r="I123" s="5" t="str">
        <f>IFERROR(__xludf.DUMMYFUNCTION("IF(C123="""","""",LOWER(TRIM(REGEXREPLACE(C123,""[^A-Za-z0-9 ]"",""""))))"),"sql and relational databases 101")</f>
        <v>sql and relational databases 101</v>
      </c>
      <c r="J123" s="6" t="str">
        <f>IFERROR(__xludf.DUMMYFUNCTION("IF(G123="""","""",LOWER(REGEXREPLACE(REGEXREPLACE(REGEXREPLACE(G123,""^https?://"",""""),""[?#].*$"",""""),""/+$"","""")))"),"cognitiveclass.ai/courses/learn-sql-relational-databases")</f>
        <v>cognitiveclass.ai/courses/learn-sql-relational-databases</v>
      </c>
      <c r="L123" s="7" t="s">
        <v>39</v>
      </c>
    </row>
    <row r="124">
      <c r="A124" s="5"/>
      <c r="B124" s="5"/>
      <c r="C124" s="1" t="s">
        <v>252</v>
      </c>
      <c r="D124" s="1" t="s">
        <v>116</v>
      </c>
      <c r="F124" s="1" t="s">
        <v>43</v>
      </c>
      <c r="G124" s="2" t="s">
        <v>253</v>
      </c>
      <c r="I124" s="5" t="str">
        <f>IFERROR(__xludf.DUMMYFUNCTION("IF(C124="""","""",LOWER(TRIM(REGEXREPLACE(C124,""[^A-Za-z0-9 ]"",""""))))"),"cisco networking data analytics essentials")</f>
        <v>cisco networking data analytics essentials</v>
      </c>
      <c r="J124" s="6" t="str">
        <f>IFERROR(__xludf.DUMMYFUNCTION("IF(G124="""","""",LOWER(REGEXREPLACE(REGEXREPLACE(REGEXREPLACE(G124,""^https?://"",""""),""[?#].*$"",""""),""/+$"","""")))"),"www.netacad.com/courses/data-analytics-essentials")</f>
        <v>www.netacad.com/courses/data-analytics-essentials</v>
      </c>
      <c r="L124" s="7" t="s">
        <v>39</v>
      </c>
    </row>
    <row r="125">
      <c r="A125" s="5"/>
      <c r="B125" s="5"/>
      <c r="C125" s="1" t="s">
        <v>468</v>
      </c>
      <c r="D125" s="1" t="s">
        <v>116</v>
      </c>
      <c r="F125" s="1" t="s">
        <v>43</v>
      </c>
      <c r="G125" s="2" t="s">
        <v>170</v>
      </c>
      <c r="I125" s="5" t="str">
        <f>IFERROR(__xludf.DUMMYFUNCTION("IF(C125="""","""",LOWER(TRIM(REGEXREPLACE(C125,""[^A-Za-z0-9 ]"",""""))))"),"digital marketing certification")</f>
        <v>digital marketing certification</v>
      </c>
      <c r="J125" s="6" t="str">
        <f>IFERROR(__xludf.DUMMYFUNCTION("IF(G125="""","""",LOWER(REGEXREPLACE(REGEXREPLACE(REGEXREPLACE(G125,""^https?://"",""""),""[?#].*$"",""""),""/+$"","""")))"),"academy.hubspot.com/courses/digital-marketing")</f>
        <v>academy.hubspot.com/courses/digital-marketing</v>
      </c>
      <c r="L125" s="7" t="s">
        <v>39</v>
      </c>
    </row>
    <row r="126">
      <c r="A126" s="5"/>
      <c r="B126" s="5"/>
      <c r="C126" s="1" t="s">
        <v>469</v>
      </c>
      <c r="D126" s="1" t="s">
        <v>116</v>
      </c>
      <c r="F126" s="1" t="s">
        <v>43</v>
      </c>
      <c r="G126" s="2" t="s">
        <v>56</v>
      </c>
      <c r="I126" s="5" t="str">
        <f>IFERROR(__xludf.DUMMYFUNCTION("IF(C126="""","""",LOWER(TRIM(REGEXREPLACE(C126,""[^A-Za-z0-9 ]"",""""))))"),"google cloud certified generative ai leader")</f>
        <v>google cloud certified generative ai leader</v>
      </c>
      <c r="J126" s="6" t="str">
        <f>IFERROR(__xludf.DUMMYFUNCTION("IF(G126="""","""",LOWER(REGEXREPLACE(REGEXREPLACE(REGEXREPLACE(G126,""^https?://"",""""),""[?#].*$"",""""),""/+$"","""")))"),"cloud.google.com/learn/certification/generative-ai-leader")</f>
        <v>cloud.google.com/learn/certification/generative-ai-leader</v>
      </c>
      <c r="L126" s="7" t="s">
        <v>39</v>
      </c>
    </row>
    <row r="127">
      <c r="A127" s="5"/>
      <c r="B127" s="5"/>
      <c r="C127" s="1" t="s">
        <v>470</v>
      </c>
      <c r="D127" s="1" t="s">
        <v>124</v>
      </c>
      <c r="E127" s="1">
        <v>0.0</v>
      </c>
      <c r="F127" s="1" t="s">
        <v>43</v>
      </c>
      <c r="G127" s="2" t="s">
        <v>198</v>
      </c>
      <c r="I127" s="5" t="str">
        <f>IFERROR(__xludf.DUMMYFUNCTION("IF(C127="""","""",LOWER(TRIM(REGEXREPLACE(C127,""[^A-Za-z0-9 ]"",""""))))"),"oci ai foundations associate")</f>
        <v>oci ai foundations associate</v>
      </c>
      <c r="J127" s="6" t="str">
        <f>IFERROR(__xludf.DUMMYFUNCTION("IF(G127="""","""",LOWER(REGEXREPLACE(REGEXREPLACE(REGEXREPLACE(G127,""^https?://"",""""),""[?#].*$"",""""),""/+$"","""")))"),"learn.oracle.com/ols/learning-path/become-an-oci-ai-foundations-associate/146553/163544")</f>
        <v>learn.oracle.com/ols/learning-path/become-an-oci-ai-foundations-associate/146553/163544</v>
      </c>
      <c r="L127" s="7" t="s">
        <v>39</v>
      </c>
    </row>
    <row r="128">
      <c r="A128" s="5"/>
      <c r="B128" s="5"/>
      <c r="C128" s="1" t="s">
        <v>223</v>
      </c>
      <c r="D128" s="1" t="s">
        <v>124</v>
      </c>
      <c r="E128" s="1">
        <v>0.0</v>
      </c>
      <c r="F128" s="1" t="s">
        <v>43</v>
      </c>
      <c r="G128" s="2" t="s">
        <v>471</v>
      </c>
      <c r="I128" s="5" t="str">
        <f>IFERROR(__xludf.DUMMYFUNCTION("IF(C128="""","""",LOWER(TRIM(REGEXREPLACE(C128,""[^A-Za-z0-9 ]"",""""))))"),"aws introduction to generative ai")</f>
        <v>aws introduction to generative ai</v>
      </c>
      <c r="J128" s="6" t="str">
        <f>IFERROR(__xludf.DUMMYFUNCTION("IF(G128="""","""",LOWER(REGEXREPLACE(REGEXREPLACE(REGEXREPLACE(G128,""^https?://"",""""),""[?#].*$"",""""),""/+$"","""")))"),"www.credly.com/org/amazon-web-services/badge/aws-educate-introduction-to-generative-ai-training-")</f>
        <v>www.credly.com/org/amazon-web-services/badge/aws-educate-introduction-to-generative-ai-training-</v>
      </c>
      <c r="L128" s="7" t="s">
        <v>39</v>
      </c>
    </row>
    <row r="129">
      <c r="A129" s="5"/>
      <c r="B129" s="5"/>
      <c r="C129" s="1" t="s">
        <v>155</v>
      </c>
      <c r="D129" s="1" t="s">
        <v>124</v>
      </c>
      <c r="E129" s="1">
        <v>0.0</v>
      </c>
      <c r="F129" s="1" t="s">
        <v>43</v>
      </c>
      <c r="G129" s="4" t="s">
        <v>472</v>
      </c>
      <c r="I129" s="5" t="str">
        <f>IFERROR(__xludf.DUMMYFUNCTION("IF(C129="""","""",LOWER(TRIM(REGEXREPLACE(C129,""[^A-Za-z0-9 ]"",""""))))"),"ibm skilsbuild artificial intelligence fundamentals")</f>
        <v>ibm skilsbuild artificial intelligence fundamentals</v>
      </c>
      <c r="J129" s="6" t="str">
        <f>IFERROR(__xludf.DUMMYFUNCTION("IF(G129="""","""",LOWER(REGEXREPLACE(REGEXREPLACE(REGEXREPLACE(G129,""^https?://"",""""),""[?#].*$"",""""),""/+$"","""")))"),"www.credly.com/org/ibm-skillsbuild/badge/artificial-intelligence-fundamentals")</f>
        <v>www.credly.com/org/ibm-skillsbuild/badge/artificial-intelligence-fundamentals</v>
      </c>
      <c r="L129" s="7" t="s">
        <v>39</v>
      </c>
    </row>
    <row r="130">
      <c r="A130" s="5"/>
      <c r="B130" s="5"/>
      <c r="C130" s="1" t="s">
        <v>236</v>
      </c>
      <c r="D130" s="1" t="s">
        <v>124</v>
      </c>
      <c r="E130" s="1">
        <v>0.0</v>
      </c>
      <c r="F130" s="1" t="s">
        <v>43</v>
      </c>
      <c r="G130" s="2" t="s">
        <v>237</v>
      </c>
      <c r="I130" s="5" t="str">
        <f>IFERROR(__xludf.DUMMYFUNCTION("IF(C130="""","""",LOWER(TRIM(REGEXREPLACE(C130,""[^A-Za-z0-9 ]"",""""))))"),"career essentials in generative ai")</f>
        <v>career essentials in generative ai</v>
      </c>
      <c r="J130" s="6" t="str">
        <f>IFERROR(__xludf.DUMMYFUNCTION("IF(G130="""","""",LOWER(REGEXREPLACE(REGEXREPLACE(REGEXREPLACE(G130,""^https?://"",""""),""[?#].*$"",""""),""/+$"","""")))"),"www.linkedin.com/learning/paths/career-essentials-in-generative-ai-by-microsoft-and-linkedin")</f>
        <v>www.linkedin.com/learning/paths/career-essentials-in-generative-ai-by-microsoft-and-linkedin</v>
      </c>
      <c r="L130" s="7" t="s">
        <v>39</v>
      </c>
    </row>
    <row r="131">
      <c r="A131" s="5"/>
      <c r="B131" s="5"/>
      <c r="C131" s="1" t="s">
        <v>288</v>
      </c>
      <c r="D131" s="1" t="s">
        <v>124</v>
      </c>
      <c r="E131" s="1">
        <v>0.0</v>
      </c>
      <c r="F131" s="1" t="s">
        <v>43</v>
      </c>
      <c r="G131" s="2" t="s">
        <v>290</v>
      </c>
      <c r="I131" s="5" t="str">
        <f>IFERROR(__xludf.DUMMYFUNCTION("IF(C131="""","""",LOWER(TRIM(REGEXREPLACE(C131,""[^A-Za-z0-9 ]"",""""))))"),"oracle agentic ai foundations associate")</f>
        <v>oracle agentic ai foundations associate</v>
      </c>
      <c r="J131" s="6" t="str">
        <f>IFERROR(__xludf.DUMMYFUNCTION("IF(G131="""","""",LOWER(REGEXREPLACE(REGEXREPLACE(REGEXREPLACE(G131,""^https?://"",""""),""[?#].*$"",""""),""/+$"","""")))"),"learn.oracle.com/ols/learning-path/become-an-oracle-agentic-ai-foundations-associate/146553/163239")</f>
        <v>learn.oracle.com/ols/learning-path/become-an-oracle-agentic-ai-foundations-associate/146553/163239</v>
      </c>
      <c r="L131" s="7" t="s">
        <v>39</v>
      </c>
    </row>
    <row r="132">
      <c r="A132" s="5"/>
      <c r="B132" s="5"/>
      <c r="C132" s="1" t="s">
        <v>473</v>
      </c>
      <c r="D132" s="1" t="s">
        <v>128</v>
      </c>
      <c r="E132" s="1">
        <v>0.0</v>
      </c>
      <c r="F132" s="1" t="s">
        <v>43</v>
      </c>
      <c r="G132" s="2" t="s">
        <v>261</v>
      </c>
      <c r="I132" s="5" t="str">
        <f>IFERROR(__xludf.DUMMYFUNCTION("IF(C132="""","""",LOWER(TRIM(REGEXREPLACE(C132,""[^A-Za-z0-9 ]"",""""))))"),"hugging face a smol course")</f>
        <v>hugging face a smol course</v>
      </c>
      <c r="J132" s="6" t="str">
        <f>IFERROR(__xludf.DUMMYFUNCTION("IF(G132="""","""",LOWER(REGEXREPLACE(REGEXREPLACE(REGEXREPLACE(G132,""^https?://"",""""),""[?#].*$"",""""),""/+$"","""")))"),"huggingface.co/smol-course")</f>
        <v>huggingface.co/smol-course</v>
      </c>
      <c r="L132" s="7" t="s">
        <v>39</v>
      </c>
    </row>
    <row r="133">
      <c r="A133" s="5"/>
      <c r="B133" s="5"/>
      <c r="C133" s="1" t="s">
        <v>272</v>
      </c>
      <c r="D133" s="1" t="s">
        <v>128</v>
      </c>
      <c r="E133" s="1">
        <v>0.0</v>
      </c>
      <c r="F133" s="1" t="s">
        <v>43</v>
      </c>
      <c r="G133" s="2" t="s">
        <v>273</v>
      </c>
      <c r="I133" s="5" t="str">
        <f>IFERROR(__xludf.DUMMYFUNCTION("IF(C133="""","""",LOWER(TRIM(REGEXREPLACE(C133,""[^A-Za-z0-9 ]"",""""))))"),"cs50s introduction to artificial intelligence with python")</f>
        <v>cs50s introduction to artificial intelligence with python</v>
      </c>
      <c r="J133" s="6" t="str">
        <f>IFERROR(__xludf.DUMMYFUNCTION("IF(G133="""","""",LOWER(REGEXREPLACE(REGEXREPLACE(REGEXREPLACE(G133,""^https?://"",""""),""[?#].*$"",""""),""/+$"","""")))"),"pll.harvard.edu/course/cs50s-introduction-artificial-intelligence-python")</f>
        <v>pll.harvard.edu/course/cs50s-introduction-artificial-intelligence-python</v>
      </c>
      <c r="L133" s="7" t="s">
        <v>39</v>
      </c>
    </row>
    <row r="134">
      <c r="A134" s="5"/>
      <c r="B134" s="5"/>
      <c r="C134" s="1" t="s">
        <v>419</v>
      </c>
      <c r="D134" s="1" t="s">
        <v>128</v>
      </c>
      <c r="E134" s="1">
        <v>0.0</v>
      </c>
      <c r="F134" s="1" t="s">
        <v>43</v>
      </c>
      <c r="G134" s="2" t="s">
        <v>474</v>
      </c>
      <c r="I134" s="5" t="str">
        <f>IFERROR(__xludf.DUMMYFUNCTION("IF(C134="""","""",LOWER(TRIM(REGEXREPLACE(C134,""[^A-Za-z0-9 ]"",""""))))"),"aws cloud quest cloud practitioner")</f>
        <v>aws cloud quest cloud practitioner</v>
      </c>
      <c r="J134" s="5" t="str">
        <f>IFERROR(__xludf.DUMMYFUNCTION("IF(G134="""","""",LOWER(REGEXREPLACE(REGEXREPLACE(REGEXREPLACE(G134,""^https?://"",""""),""[?#].*$"",""""),""/+$"","""")))"),"docs.cloudquest.skillbuilder.aws/coming-soon/index.html")</f>
        <v>docs.cloudquest.skillbuilder.aws/coming-soon/index.html</v>
      </c>
      <c r="L134" s="7" t="s">
        <v>39</v>
      </c>
    </row>
    <row r="135">
      <c r="A135" s="5"/>
      <c r="B135" s="5"/>
      <c r="C135" s="1" t="s">
        <v>79</v>
      </c>
      <c r="D135" s="1" t="s">
        <v>130</v>
      </c>
      <c r="E135" s="1">
        <v>0.0</v>
      </c>
      <c r="F135" s="1" t="s">
        <v>43</v>
      </c>
      <c r="G135" s="2" t="s">
        <v>475</v>
      </c>
      <c r="I135" s="5" t="str">
        <f>IFERROR(__xludf.DUMMYFUNCTION("IF(C135="""","""",LOWER(TRIM(REGEXREPLACE(C135,""[^A-Za-z0-9 ]"",""""))))"),"google ai essentials")</f>
        <v>google ai essentials</v>
      </c>
      <c r="J135" s="6" t="str">
        <f>IFERROR(__xludf.DUMMYFUNCTION("IF(G135="""","""",LOWER(REGEXREPLACE(REGEXREPLACE(REGEXREPLACE(G135,""^https?://"",""""),""[?#].*$"",""""),""/+$"","""")))"),"www.coursera.org/learn/google-ai-essentials")</f>
        <v>www.coursera.org/learn/google-ai-essentials</v>
      </c>
      <c r="L135" s="7" t="s">
        <v>39</v>
      </c>
    </row>
    <row r="136">
      <c r="A136" s="5"/>
      <c r="B136" s="5"/>
      <c r="C136" s="1" t="s">
        <v>66</v>
      </c>
      <c r="D136" s="1" t="s">
        <v>130</v>
      </c>
      <c r="E136" s="1">
        <v>0.0</v>
      </c>
      <c r="F136" s="1" t="s">
        <v>43</v>
      </c>
      <c r="G136" s="2" t="s">
        <v>67</v>
      </c>
      <c r="I136" s="5" t="str">
        <f>IFERROR(__xludf.DUMMYFUNCTION("IF(C136="""","""",LOWER(TRIM(REGEXREPLACE(C136,""[^A-Za-z0-9 ]"",""""))))"),"claude certifed archtitect")</f>
        <v>claude certifed archtitect</v>
      </c>
      <c r="J136" s="6" t="str">
        <f>IFERROR(__xludf.DUMMYFUNCTION("IF(G136="""","""",LOWER(REGEXREPLACE(REGEXREPLACE(REGEXREPLACE(G136,""^https?://"",""""),""[?#].*$"",""""),""/+$"","""")))"),"anthropic-partners.skilljar.com/claude-certified-architect-foundations-certification")</f>
        <v>anthropic-partners.skilljar.com/claude-certified-architect-foundations-certification</v>
      </c>
      <c r="L136" s="7" t="s">
        <v>39</v>
      </c>
    </row>
    <row r="137">
      <c r="A137" s="5"/>
      <c r="B137" s="5"/>
      <c r="C137" s="1" t="s">
        <v>349</v>
      </c>
      <c r="D137" s="1" t="s">
        <v>130</v>
      </c>
      <c r="E137" s="1">
        <v>0.0</v>
      </c>
      <c r="F137" s="1" t="s">
        <v>43</v>
      </c>
      <c r="G137" s="2" t="s">
        <v>476</v>
      </c>
      <c r="I137" s="5" t="str">
        <f>IFERROR(__xludf.DUMMYFUNCTION("IF(C137="""","""",LOWER(TRIM(REGEXREPLACE(C137,""[^A-Za-z0-9 ]"",""""))))"),"github foundations")</f>
        <v>github foundations</v>
      </c>
      <c r="J137" s="6" t="str">
        <f>IFERROR(__xludf.DUMMYFUNCTION("IF(G137="""","""",LOWER(REGEXREPLACE(REGEXREPLACE(REGEXREPLACE(G137,""^https?://"",""""),""[?#].*$"",""""),""/+$"","""")))"),"examregistration.github.com/certification/ghf")</f>
        <v>examregistration.github.com/certification/ghf</v>
      </c>
      <c r="L137" s="7" t="s">
        <v>39</v>
      </c>
    </row>
    <row r="138">
      <c r="A138" s="5"/>
      <c r="B138" s="5"/>
      <c r="C138" s="1" t="s">
        <v>443</v>
      </c>
      <c r="D138" s="1" t="s">
        <v>130</v>
      </c>
      <c r="E138" s="1">
        <v>0.0</v>
      </c>
      <c r="F138" s="1" t="s">
        <v>43</v>
      </c>
      <c r="G138" s="2" t="s">
        <v>477</v>
      </c>
      <c r="I138" s="5" t="str">
        <f>IFERROR(__xludf.DUMMYFUNCTION("IF(C138="""","""",LOWER(TRIM(REGEXREPLACE(C138,""[^A-Za-z0-9 ]"",""""))))"),"hubspot digital marketing certification")</f>
        <v>hubspot digital marketing certification</v>
      </c>
      <c r="J138" s="6" t="str">
        <f>IFERROR(__xludf.DUMMYFUNCTION("IF(G138="""","""",LOWER(REGEXREPLACE(REGEXREPLACE(REGEXREPLACE(G138,""^https?://"",""""),""[?#].*$"",""""),""/+$"","""")))"),"academy.hubspot.com/courses/digital-marketing")</f>
        <v>academy.hubspot.com/courses/digital-marketing</v>
      </c>
      <c r="L138" s="7" t="s">
        <v>39</v>
      </c>
    </row>
    <row r="139">
      <c r="A139" s="5"/>
      <c r="B139" s="5"/>
      <c r="C139" s="1" t="s">
        <v>478</v>
      </c>
      <c r="D139" s="1" t="s">
        <v>130</v>
      </c>
      <c r="E139" s="1">
        <v>0.0</v>
      </c>
      <c r="F139" s="1" t="s">
        <v>43</v>
      </c>
      <c r="G139" s="2" t="s">
        <v>479</v>
      </c>
      <c r="I139" s="5" t="str">
        <f>IFERROR(__xludf.DUMMYFUNCTION("IF(C139="""","""",LOWER(TRIM(REGEXREPLACE(C139,""[^A-Za-z0-9 ]"",""""))))"),"ibm skillsbuild cybersecurity certificate")</f>
        <v>ibm skillsbuild cybersecurity certificate</v>
      </c>
      <c r="J139" s="6" t="str">
        <f>IFERROR(__xludf.DUMMYFUNCTION("IF(G139="""","""",LOWER(REGEXREPLACE(REGEXREPLACE(REGEXREPLACE(G139,""^https?://"",""""),""[?#].*$"",""""),""/+$"","""")))"),"skillsbuild.org/college-students/course-catalog/ibm-skillsbuild-cybersecurity-certificate")</f>
        <v>skillsbuild.org/college-students/course-catalog/ibm-skillsbuild-cybersecurity-certificate</v>
      </c>
      <c r="L139" s="7" t="s">
        <v>39</v>
      </c>
    </row>
    <row r="140">
      <c r="A140" s="5"/>
      <c r="B140" s="5"/>
      <c r="C140" s="1" t="s">
        <v>57</v>
      </c>
      <c r="D140" s="1" t="s">
        <v>141</v>
      </c>
      <c r="E140" s="1">
        <v>0.0</v>
      </c>
      <c r="F140" s="1" t="s">
        <v>43</v>
      </c>
      <c r="G140" s="2" t="s">
        <v>60</v>
      </c>
      <c r="I140" s="5" t="str">
        <f>IFERROR(__xludf.DUMMYFUNCTION("IF(C140="""","""",LOWER(TRIM(REGEXREPLACE(C140,""[^A-Za-z0-9 ]"",""""))))"),"anthropic ai fluency framework foundations")</f>
        <v>anthropic ai fluency framework foundations</v>
      </c>
      <c r="J140" s="6" t="str">
        <f>IFERROR(__xludf.DUMMYFUNCTION("IF(G140="""","""",LOWER(REGEXREPLACE(REGEXREPLACE(REGEXREPLACE(G140,""^https?://"",""""),""[?#].*$"",""""),""/+$"","""")))"),"anthropic.skilljar.com/ai-fluency-framework-foundations")</f>
        <v>anthropic.skilljar.com/ai-fluency-framework-foundations</v>
      </c>
      <c r="L140" s="7" t="s">
        <v>39</v>
      </c>
    </row>
    <row r="141">
      <c r="A141" s="5"/>
      <c r="B141" s="5"/>
      <c r="C141" s="1" t="s">
        <v>480</v>
      </c>
      <c r="D141" s="1" t="s">
        <v>141</v>
      </c>
      <c r="E141" s="1">
        <v>99.0</v>
      </c>
      <c r="F141" s="1" t="s">
        <v>43</v>
      </c>
      <c r="G141" s="2" t="s">
        <v>56</v>
      </c>
      <c r="I141" s="5" t="str">
        <f>IFERROR(__xludf.DUMMYFUNCTION("IF(C141="""","""",LOWER(TRIM(REGEXREPLACE(C141,""[^A-Za-z0-9 ]"",""""))))"),"google cloud geneartive ai leader")</f>
        <v>google cloud geneartive ai leader</v>
      </c>
      <c r="J141" s="6" t="str">
        <f>IFERROR(__xludf.DUMMYFUNCTION("IF(G141="""","""",LOWER(REGEXREPLACE(REGEXREPLACE(REGEXREPLACE(G141,""^https?://"",""""),""[?#].*$"",""""),""/+$"","""")))"),"cloud.google.com/learn/certification/generative-ai-leader")</f>
        <v>cloud.google.com/learn/certification/generative-ai-leader</v>
      </c>
      <c r="L141" s="7" t="s">
        <v>39</v>
      </c>
    </row>
    <row r="142">
      <c r="A142" s="5"/>
      <c r="B142" s="5"/>
      <c r="C142" s="1" t="s">
        <v>481</v>
      </c>
      <c r="D142" s="1" t="s">
        <v>141</v>
      </c>
      <c r="E142" s="1">
        <v>150.0</v>
      </c>
      <c r="F142" s="1" t="s">
        <v>43</v>
      </c>
      <c r="G142" s="2" t="s">
        <v>482</v>
      </c>
      <c r="I142" s="5" t="str">
        <f>IFERROR(__xludf.DUMMYFUNCTION("IF(C142="""","""",LOWER(TRIM(REGEXREPLACE(C142,""[^A-Za-z0-9 ]"",""""))))"),"aws certified machine learning engineer associate")</f>
        <v>aws certified machine learning engineer associate</v>
      </c>
      <c r="J142" s="6" t="str">
        <f>IFERROR(__xludf.DUMMYFUNCTION("IF(G142="""","""",LOWER(REGEXREPLACE(REGEXREPLACE(REGEXREPLACE(G142,""^https?://"",""""),""[?#].*$"",""""),""/+$"","""")))"),"aws.amazon.com/certification/certified-machine-learning-engineer-associate")</f>
        <v>aws.amazon.com/certification/certified-machine-learning-engineer-associate</v>
      </c>
      <c r="L142" s="7" t="s">
        <v>39</v>
      </c>
    </row>
    <row r="143">
      <c r="A143" s="5"/>
      <c r="B143" s="5"/>
      <c r="C143" s="1" t="s">
        <v>163</v>
      </c>
      <c r="D143" s="1" t="s">
        <v>141</v>
      </c>
      <c r="E143" s="1">
        <v>0.0</v>
      </c>
      <c r="F143" s="1" t="s">
        <v>43</v>
      </c>
      <c r="G143" s="2" t="s">
        <v>164</v>
      </c>
      <c r="I143" s="5" t="str">
        <f>IFERROR(__xludf.DUMMYFUNCTION("IF(C143="""","""",LOWER(TRIM(REGEXREPLACE(C143,""[^A-Za-z0-9 ]"",""""))))"),"ibm ai enigineering professional certificate")</f>
        <v>ibm ai enigineering professional certificate</v>
      </c>
      <c r="J143" s="6" t="str">
        <f>IFERROR(__xludf.DUMMYFUNCTION("IF(G143="""","""",LOWER(REGEXREPLACE(REGEXREPLACE(REGEXREPLACE(G143,""^https?://"",""""),""[?#].*$"",""""),""/+$"","""")))"),"www.coursera.org/professional-certificates/ai-engineer")</f>
        <v>www.coursera.org/professional-certificates/ai-engineer</v>
      </c>
      <c r="L143" s="7" t="s">
        <v>39</v>
      </c>
    </row>
    <row r="144">
      <c r="A144" s="5"/>
      <c r="B144" s="5"/>
      <c r="C144" s="1" t="s">
        <v>338</v>
      </c>
      <c r="D144" s="1" t="s">
        <v>141</v>
      </c>
      <c r="E144" s="1">
        <v>125.0</v>
      </c>
      <c r="F144" s="1" t="s">
        <v>43</v>
      </c>
      <c r="G144" s="2" t="s">
        <v>341</v>
      </c>
      <c r="I144" s="5" t="str">
        <f>IFERROR(__xludf.DUMMYFUNCTION("IF(C144="""","""",LOWER(TRIM(REGEXREPLACE(C144,""[^A-Za-z0-9 ]"",""""))))"),"nvidia certified associate generative ai llms")</f>
        <v>nvidia certified associate generative ai llms</v>
      </c>
      <c r="J144" s="6" t="str">
        <f>IFERROR(__xludf.DUMMYFUNCTION("IF(G144="""","""",LOWER(REGEXREPLACE(REGEXREPLACE(REGEXREPLACE(G144,""^https?://"",""""),""[?#].*$"",""""),""/+$"","""")))"),"www.nvidia.com/en-us/learn/certification/generative-ai-llm-associate")</f>
        <v>www.nvidia.com/en-us/learn/certification/generative-ai-llm-associate</v>
      </c>
      <c r="L144" s="7" t="s">
        <v>39</v>
      </c>
    </row>
    <row r="145">
      <c r="A145" s="5"/>
      <c r="B145" s="5"/>
      <c r="C145" s="1" t="s">
        <v>291</v>
      </c>
      <c r="D145" s="1" t="s">
        <v>141</v>
      </c>
      <c r="E145" s="1">
        <v>0.0</v>
      </c>
      <c r="F145" s="1" t="s">
        <v>43</v>
      </c>
      <c r="G145" s="2" t="s">
        <v>292</v>
      </c>
      <c r="I145" s="5" t="str">
        <f>IFERROR(__xludf.DUMMYFUNCTION("IF(C145="""","""",LOWER(TRIM(REGEXREPLACE(C145,""[^A-Za-z0-9 ]"",""""))))"),"oracle oci 2025 generative ai professional")</f>
        <v>oracle oci 2025 generative ai professional</v>
      </c>
      <c r="J145" s="6" t="str">
        <f>IFERROR(__xludf.DUMMYFUNCTION("IF(G145="""","""",LOWER(REGEXREPLACE(REGEXREPLACE(REGEXREPLACE(G145,""^https?://"",""""),""[?#].*$"",""""),""/+$"","""")))"),"education.oracle.com/oracle-cloud-infrastructure-2025-generative-ai-professional/pexam_1z0-1127-25")</f>
        <v>education.oracle.com/oracle-cloud-infrastructure-2025-generative-ai-professional/pexam_1z0-1127-25</v>
      </c>
      <c r="L145" s="7" t="s">
        <v>39</v>
      </c>
    </row>
    <row r="146">
      <c r="A146" s="5"/>
      <c r="B146" s="5"/>
      <c r="C146" s="1" t="s">
        <v>321</v>
      </c>
      <c r="D146" s="1" t="s">
        <v>141</v>
      </c>
      <c r="E146" s="1">
        <v>0.0</v>
      </c>
      <c r="F146" s="1" t="s">
        <v>43</v>
      </c>
      <c r="G146" s="2" t="s">
        <v>323</v>
      </c>
      <c r="I146" s="5" t="str">
        <f>IFERROR(__xludf.DUMMYFUNCTION("IF(C146="""","""",LOWER(TRIM(REGEXREPLACE(C146,""[^A-Za-z0-9 ]"",""""))))"),"databricks generative ai fundamentals")</f>
        <v>databricks generative ai fundamentals</v>
      </c>
      <c r="J146" s="6" t="str">
        <f>IFERROR(__xludf.DUMMYFUNCTION("IF(G146="""","""",LOWER(REGEXREPLACE(REGEXREPLACE(REGEXREPLACE(G146,""^https?://"",""""),""[?#].*$"",""""),""/+$"","""")))"),"www.databricks.com/training/catalog/generative-ai-fundamentals-1765")</f>
        <v>www.databricks.com/training/catalog/generative-ai-fundamentals-1765</v>
      </c>
      <c r="L146" s="7" t="s">
        <v>39</v>
      </c>
    </row>
    <row r="147">
      <c r="A147" s="5"/>
      <c r="B147" s="5"/>
      <c r="C147" s="1" t="s">
        <v>265</v>
      </c>
      <c r="D147" s="1" t="s">
        <v>141</v>
      </c>
      <c r="E147" s="1">
        <v>0.0</v>
      </c>
      <c r="F147" s="1" t="s">
        <v>43</v>
      </c>
      <c r="G147" s="2" t="s">
        <v>267</v>
      </c>
      <c r="I147" s="5" t="str">
        <f>IFERROR(__xludf.DUMMYFUNCTION("IF(C147="""","""",LOWER(TRIM(REGEXREPLACE(C147,""[^A-Za-z0-9 ]"",""""))))"),"hugging face ai agents course")</f>
        <v>hugging face ai agents course</v>
      </c>
      <c r="J147" s="6" t="str">
        <f>IFERROR(__xludf.DUMMYFUNCTION("IF(G147="""","""",LOWER(REGEXREPLACE(REGEXREPLACE(REGEXREPLACE(G147,""^https?://"",""""),""[?#].*$"",""""),""/+$"","""")))"),"huggingface.co/learn/agents-course")</f>
        <v>huggingface.co/learn/agents-course</v>
      </c>
      <c r="L147" s="7" t="s">
        <v>39</v>
      </c>
    </row>
    <row r="148">
      <c r="A148" s="5"/>
      <c r="B148" s="5"/>
      <c r="C148" s="1" t="s">
        <v>75</v>
      </c>
      <c r="D148" s="1" t="s">
        <v>153</v>
      </c>
      <c r="E148" s="1">
        <v>0.0</v>
      </c>
      <c r="F148" s="1">
        <v>1.0</v>
      </c>
      <c r="G148" s="2" t="s">
        <v>76</v>
      </c>
      <c r="I148" s="5" t="str">
        <f>IFERROR(__xludf.DUMMYFUNCTION("IF(C148="""","""",LOWER(TRIM(REGEXREPLACE(C148,""[^A-Za-z0-9 ]"",""""))))"),"anthropic building effective humanagent teams")</f>
        <v>anthropic building effective humanagent teams</v>
      </c>
      <c r="J148" s="6" t="str">
        <f>IFERROR(__xludf.DUMMYFUNCTION("IF(G148="""","""",LOWER(REGEXREPLACE(REGEXREPLACE(REGEXREPLACE(G148,""^https?://"",""""),""[?#].*$"",""""),""/+$"","""")))"),"academy.claude.com/courses/building-effective-human-agent-teams")</f>
        <v>academy.claude.com/courses/building-effective-human-agent-teams</v>
      </c>
      <c r="L148" s="7" t="s">
        <v>39</v>
      </c>
    </row>
    <row r="149">
      <c r="A149" s="5"/>
      <c r="B149" s="5"/>
      <c r="C149" s="1" t="s">
        <v>319</v>
      </c>
      <c r="D149" s="1" t="s">
        <v>153</v>
      </c>
      <c r="E149" s="1">
        <v>0.0</v>
      </c>
      <c r="F149" s="1">
        <v>1.0</v>
      </c>
      <c r="G149" s="2" t="s">
        <v>316</v>
      </c>
      <c r="I149" s="5" t="str">
        <f>IFERROR(__xludf.DUMMYFUNCTION("IF(C149="""","""",LOWER(TRIM(REGEXREPLACE(C149,""[^A-Za-z0-9 ]"",""""))))"),"langchain langchain essentials python")</f>
        <v>langchain langchain essentials python</v>
      </c>
      <c r="J149" s="6" t="str">
        <f>IFERROR(__xludf.DUMMYFUNCTION("IF(G149="""","""",LOWER(REGEXREPLACE(REGEXREPLACE(REGEXREPLACE(G149,""^https?://"",""""),""[?#].*$"",""""),""/+$"","""")))"),"academy.langchain.com/courses/langchain-essentials-python")</f>
        <v>academy.langchain.com/courses/langchain-essentials-python</v>
      </c>
      <c r="L149" s="7" t="s">
        <v>39</v>
      </c>
    </row>
    <row r="150">
      <c r="A150" s="5"/>
      <c r="B150" s="5"/>
      <c r="C150" s="1" t="s">
        <v>82</v>
      </c>
      <c r="D150" s="1" t="s">
        <v>153</v>
      </c>
      <c r="E150" s="1">
        <v>0.0</v>
      </c>
      <c r="F150" s="1">
        <v>1.5</v>
      </c>
      <c r="G150" s="2" t="s">
        <v>83</v>
      </c>
      <c r="I150" s="5" t="str">
        <f>IFERROR(__xludf.DUMMYFUNCTION("IF(C150="""","""",LOWER(TRIM(REGEXREPLACE(C150,""[^A-Za-z0-9 ]"",""""))))"),"anthropic claude platform 101")</f>
        <v>anthropic claude platform 101</v>
      </c>
      <c r="J150" s="6" t="str">
        <f>IFERROR(__xludf.DUMMYFUNCTION("IF(G150="""","""",LOWER(REGEXREPLACE(REGEXREPLACE(REGEXREPLACE(G150,""^https?://"",""""),""[?#].*$"",""""),""/+$"","""")))"),"academy.claude.com/courses/claude-platform-101")</f>
        <v>academy.claude.com/courses/claude-platform-101</v>
      </c>
      <c r="L150" s="7" t="s">
        <v>39</v>
      </c>
    </row>
    <row r="151">
      <c r="A151" s="5"/>
      <c r="B151" s="5"/>
      <c r="C151" s="1" t="s">
        <v>89</v>
      </c>
      <c r="D151" s="1" t="s">
        <v>153</v>
      </c>
      <c r="E151" s="1">
        <v>0.0</v>
      </c>
      <c r="F151" s="1">
        <v>1.5</v>
      </c>
      <c r="G151" s="2" t="s">
        <v>91</v>
      </c>
      <c r="I151" s="5" t="str">
        <f>IFERROR(__xludf.DUMMYFUNCTION("IF(C151="""","""",LOWER(TRIM(REGEXREPLACE(C151,""[^A-Za-z0-9 ]"",""""))))"),"anthropic model context protocol advanced topics")</f>
        <v>anthropic model context protocol advanced topics</v>
      </c>
      <c r="J151" s="6" t="str">
        <f>IFERROR(__xludf.DUMMYFUNCTION("IF(G151="""","""",LOWER(REGEXREPLACE(REGEXREPLACE(REGEXREPLACE(G151,""^https?://"",""""),""[?#].*$"",""""),""/+$"","""")))"),"academy.claude.com/courses/model-context-protocol-advanced-topics")</f>
        <v>academy.claude.com/courses/model-context-protocol-advanced-topics</v>
      </c>
      <c r="L151" s="7" t="s">
        <v>39</v>
      </c>
    </row>
    <row r="152">
      <c r="A152" s="5"/>
      <c r="B152" s="5"/>
      <c r="C152" s="1" t="s">
        <v>314</v>
      </c>
      <c r="D152" s="1" t="s">
        <v>153</v>
      </c>
      <c r="E152" s="1">
        <v>0.0</v>
      </c>
      <c r="F152" s="1">
        <v>1.5</v>
      </c>
      <c r="G152" s="2" t="s">
        <v>320</v>
      </c>
      <c r="I152" s="5" t="str">
        <f>IFERROR(__xludf.DUMMYFUNCTION("IF(C152="""","""",LOWER(TRIM(REGEXREPLACE(C152,""[^A-Za-z0-9 ]"",""""))))"),"langchain langsmith fleet build nocode agents")</f>
        <v>langchain langsmith fleet build nocode agents</v>
      </c>
      <c r="J152" s="6" t="str">
        <f>IFERROR(__xludf.DUMMYFUNCTION("IF(G152="""","""",LOWER(REGEXREPLACE(REGEXREPLACE(REGEXREPLACE(G152,""^https?://"",""""),""[?#].*$"",""""),""/+$"","""")))"),"academy.langchain.com/courses/quickstart-agent-builder")</f>
        <v>academy.langchain.com/courses/quickstart-agent-builder</v>
      </c>
      <c r="L152" s="7" t="s">
        <v>39</v>
      </c>
    </row>
    <row r="153">
      <c r="A153" s="5"/>
      <c r="B153" s="5"/>
      <c r="C153" s="1" t="s">
        <v>217</v>
      </c>
      <c r="D153" s="1" t="s">
        <v>153</v>
      </c>
      <c r="E153" s="1">
        <v>0.0</v>
      </c>
      <c r="F153" s="1">
        <v>1.0</v>
      </c>
      <c r="G153" s="2" t="s">
        <v>218</v>
      </c>
      <c r="I153" s="5" t="str">
        <f>IFERROR(__xludf.DUMMYFUNCTION("IF(C153="""","""",LOWER(TRIM(REGEXREPLACE(C153,""[^A-Za-z0-9 ]"",""""))))"),"microsoft develop an agent with integrated tools")</f>
        <v>microsoft develop an agent with integrated tools</v>
      </c>
      <c r="J153" s="6" t="str">
        <f>IFERROR(__xludf.DUMMYFUNCTION("IF(G153="""","""",LOWER(REGEXREPLACE(REGEXREPLACE(REGEXREPLACE(G153,""^https?://"",""""),""[?#].*$"",""""),""/+$"","""")))"),"learn.microsoft.com/en-us/credentials/applied-skills/develop-an-agent-with-integrated-tools")</f>
        <v>learn.microsoft.com/en-us/credentials/applied-skills/develop-an-agent-with-integrated-tools</v>
      </c>
      <c r="L153" s="7" t="s">
        <v>39</v>
      </c>
    </row>
    <row r="154">
      <c r="A154" s="5"/>
      <c r="B154" s="5"/>
      <c r="C154" s="1" t="s">
        <v>308</v>
      </c>
      <c r="D154" s="1" t="s">
        <v>153</v>
      </c>
      <c r="E154" s="1">
        <v>0.0</v>
      </c>
      <c r="F154" s="1">
        <v>1.25</v>
      </c>
      <c r="G154" s="2" t="s">
        <v>310</v>
      </c>
      <c r="I154" s="5" t="str">
        <f>IFERROR(__xludf.DUMMYFUNCTION("IF(C154="""","""",LOWER(TRIM(REGEXREPLACE(C154,""[^A-Za-z0-9 ]"",""""))))"),"mongodb building ai agents with mongodb")</f>
        <v>mongodb building ai agents with mongodb</v>
      </c>
      <c r="J154" s="6" t="str">
        <f>IFERROR(__xludf.DUMMYFUNCTION("IF(G154="""","""",LOWER(REGEXREPLACE(REGEXREPLACE(REGEXREPLACE(G154,""^https?://"",""""),""[?#].*$"",""""),""/+$"","""")))"),"learn.mongodb.com/courses/ai-agents-with-mongodb")</f>
        <v>learn.mongodb.com/courses/ai-agents-with-mongodb</v>
      </c>
      <c r="L154" s="7" t="s">
        <v>39</v>
      </c>
    </row>
    <row r="155">
      <c r="A155" s="5"/>
      <c r="B155" s="5"/>
      <c r="C155" s="1" t="s">
        <v>485</v>
      </c>
      <c r="D155" s="1" t="s">
        <v>153</v>
      </c>
      <c r="E155" s="1">
        <v>0.0</v>
      </c>
      <c r="F155" s="1">
        <v>1.0</v>
      </c>
      <c r="G155" s="2" t="s">
        <v>297</v>
      </c>
      <c r="I155" s="5" t="str">
        <f>IFERROR(__xludf.DUMMYFUNCTION("IF(C155="""","""",LOWER(TRIM(REGEXREPLACE(C155,""[^A-Za-z0-9 ]"",""""))))"),"ai foundations")</f>
        <v>ai foundations</v>
      </c>
      <c r="J155" s="6" t="str">
        <f>IFERROR(__xludf.DUMMYFUNCTION("IF(G155="""","""",LOWER(REGEXREPLACE(REGEXREPLACE(REGEXREPLACE(G155,""^https?://"",""""),""[?#].*$"",""""),""/+$"","""")))"),"academy.openai.com/public/courses/ai-foundations-dnq5w")</f>
        <v>academy.openai.com/public/courses/ai-foundations-dnq5w</v>
      </c>
      <c r="L155" s="7" t="s">
        <v>39</v>
      </c>
    </row>
    <row r="156">
      <c r="A156" s="5"/>
      <c r="B156" s="5"/>
      <c r="C156" s="1" t="s">
        <v>298</v>
      </c>
      <c r="D156" s="1" t="s">
        <v>153</v>
      </c>
      <c r="E156" s="1">
        <v>0.0</v>
      </c>
      <c r="F156" s="1">
        <v>1.0</v>
      </c>
      <c r="G156" s="2" t="s">
        <v>299</v>
      </c>
      <c r="I156" s="5" t="str">
        <f>IFERROR(__xludf.DUMMYFUNCTION("IF(C156="""","""",LOWER(TRIM(REGEXREPLACE(C156,""[^A-Za-z0-9 ]"",""""))))"),"applied ai foundations")</f>
        <v>applied ai foundations</v>
      </c>
      <c r="J156" s="6" t="str">
        <f>IFERROR(__xludf.DUMMYFUNCTION("IF(G156="""","""",LOWER(REGEXREPLACE(REGEXREPLACE(REGEXREPLACE(G156,""^https?://"",""""),""[?#].*$"",""""),""/+$"","""")))"),"academy.openai.com/public/courses/applied-ai-foundations-szsmv")</f>
        <v>academy.openai.com/public/courses/applied-ai-foundations-szsmv</v>
      </c>
      <c r="L156" s="7" t="s">
        <v>39</v>
      </c>
    </row>
    <row r="157">
      <c r="A157" s="5"/>
      <c r="B157" s="5"/>
      <c r="C157" s="1" t="s">
        <v>486</v>
      </c>
      <c r="D157" s="1" t="s">
        <v>153</v>
      </c>
      <c r="E157" s="1">
        <v>0.0</v>
      </c>
      <c r="F157" s="1">
        <v>1.5</v>
      </c>
      <c r="G157" s="2" t="s">
        <v>303</v>
      </c>
      <c r="I157" s="5" t="str">
        <f>IFERROR(__xludf.DUMMYFUNCTION("IF(C157="""","""",LOWER(TRIM(REGEXREPLACE(C157,""[^A-Za-z0-9 ]"",""""))))"),"agents and workflows")</f>
        <v>agents and workflows</v>
      </c>
      <c r="J157" s="6" t="str">
        <f>IFERROR(__xludf.DUMMYFUNCTION("IF(G157="""","""",LOWER(REGEXREPLACE(REGEXREPLACE(REGEXREPLACE(G157,""^https?://"",""""),""[?#].*$"",""""),""/+$"","""")))"),"academy.openai.com/public/courses/agents-and-workflows-y0qoc")</f>
        <v>academy.openai.com/public/courses/agents-and-workflows-y0qoc</v>
      </c>
      <c r="L157" s="7" t="s">
        <v>39</v>
      </c>
    </row>
    <row r="158">
      <c r="A158" s="5"/>
      <c r="B158" s="5"/>
      <c r="C158" s="1" t="s">
        <v>306</v>
      </c>
      <c r="D158" s="1" t="s">
        <v>153</v>
      </c>
      <c r="E158" s="1">
        <v>0.0</v>
      </c>
      <c r="F158" s="1">
        <v>3.0</v>
      </c>
      <c r="G158" s="2" t="s">
        <v>307</v>
      </c>
      <c r="I158" s="5" t="str">
        <f>IFERROR(__xludf.DUMMYFUNCTION("IF(C158="""","""",LOWER(TRIM(REGEXREPLACE(C158,""[^A-Za-z0-9 ]"",""""))))"),"ai leadership")</f>
        <v>ai leadership</v>
      </c>
      <c r="J158" s="6" t="str">
        <f>IFERROR(__xludf.DUMMYFUNCTION("IF(G158="""","""",LOWER(REGEXREPLACE(REGEXREPLACE(REGEXREPLACE(G158,""^https?://"",""""),""[?#].*$"",""""),""/+$"","""")))"),"academy.openai.com/public/courses/ai-leadership-kaf7k")</f>
        <v>academy.openai.com/public/courses/ai-leadership-kaf7k</v>
      </c>
      <c r="L158" s="7" t="s">
        <v>39</v>
      </c>
    </row>
    <row r="159">
      <c r="A159" s="5"/>
      <c r="B159" s="5"/>
      <c r="D159" s="5"/>
    </row>
    <row r="160">
      <c r="A160" s="5"/>
      <c r="B160" s="5"/>
      <c r="D160" s="5"/>
    </row>
    <row r="161">
      <c r="A161" s="5"/>
      <c r="B161" s="5"/>
      <c r="D161" s="5"/>
    </row>
    <row r="162">
      <c r="A162" s="5"/>
      <c r="B162" s="5"/>
      <c r="D162" s="5"/>
    </row>
    <row r="163">
      <c r="A163" s="5"/>
      <c r="B163" s="5"/>
      <c r="D163" s="5"/>
    </row>
    <row r="164">
      <c r="A164" s="5"/>
      <c r="B164" s="5"/>
      <c r="D164" s="5"/>
    </row>
    <row r="165">
      <c r="A165" s="5"/>
      <c r="B165" s="5"/>
      <c r="D165" s="5"/>
    </row>
    <row r="166">
      <c r="A166" s="5"/>
      <c r="B166" s="5"/>
      <c r="D166" s="5"/>
    </row>
    <row r="167">
      <c r="A167" s="5"/>
      <c r="B167" s="5"/>
      <c r="D167" s="5"/>
    </row>
    <row r="168">
      <c r="A168" s="5"/>
      <c r="B168" s="5"/>
      <c r="D168" s="5"/>
    </row>
    <row r="169">
      <c r="A169" s="5"/>
      <c r="B169" s="5"/>
      <c r="D169" s="5"/>
    </row>
    <row r="170">
      <c r="A170" s="5"/>
      <c r="B170" s="5"/>
      <c r="D170" s="5"/>
    </row>
    <row r="171">
      <c r="A171" s="5"/>
      <c r="B171" s="5"/>
      <c r="D171" s="5"/>
    </row>
    <row r="172">
      <c r="A172" s="5"/>
      <c r="B172" s="5"/>
      <c r="D172" s="5"/>
    </row>
    <row r="173">
      <c r="A173" s="5"/>
      <c r="B173" s="5"/>
      <c r="D173" s="5"/>
    </row>
    <row r="174">
      <c r="A174" s="5"/>
      <c r="B174" s="5"/>
      <c r="D174" s="5"/>
    </row>
    <row r="175">
      <c r="A175" s="5"/>
      <c r="B175" s="5"/>
      <c r="D175" s="5"/>
    </row>
    <row r="176">
      <c r="A176" s="5"/>
      <c r="B176" s="5"/>
      <c r="D176" s="5"/>
    </row>
    <row r="177">
      <c r="A177" s="5"/>
      <c r="B177" s="5"/>
      <c r="D177" s="5"/>
    </row>
    <row r="178">
      <c r="A178" s="5"/>
      <c r="B178" s="5"/>
      <c r="D178" s="5"/>
    </row>
    <row r="179">
      <c r="A179" s="5"/>
      <c r="B179" s="5"/>
      <c r="D179" s="5"/>
    </row>
    <row r="180">
      <c r="A180" s="5"/>
      <c r="B180" s="5"/>
      <c r="D180" s="5"/>
    </row>
    <row r="181">
      <c r="A181" s="5"/>
      <c r="B181" s="5"/>
      <c r="D181" s="5"/>
    </row>
    <row r="182">
      <c r="A182" s="5"/>
      <c r="B182" s="5"/>
      <c r="D182" s="5"/>
    </row>
    <row r="183">
      <c r="A183" s="5"/>
      <c r="B183" s="5"/>
      <c r="D183" s="5"/>
    </row>
    <row r="184">
      <c r="A184" s="5"/>
      <c r="B184" s="5"/>
      <c r="D184" s="5"/>
    </row>
    <row r="185">
      <c r="A185" s="5"/>
      <c r="B185" s="5"/>
      <c r="D185" s="5"/>
    </row>
    <row r="186">
      <c r="A186" s="5"/>
      <c r="B186" s="5"/>
      <c r="D186" s="5"/>
    </row>
    <row r="187">
      <c r="A187" s="5"/>
      <c r="B187" s="5"/>
      <c r="D187" s="5"/>
    </row>
    <row r="188">
      <c r="A188" s="5"/>
      <c r="B188" s="5"/>
      <c r="D188" s="5"/>
    </row>
    <row r="189">
      <c r="A189" s="5"/>
      <c r="B189" s="5"/>
      <c r="D189" s="5"/>
    </row>
    <row r="190">
      <c r="A190" s="5"/>
      <c r="B190" s="5"/>
      <c r="D190" s="5"/>
    </row>
    <row r="191">
      <c r="A191" s="5"/>
      <c r="B191" s="5"/>
      <c r="D191" s="5"/>
    </row>
    <row r="192">
      <c r="A192" s="5"/>
      <c r="B192" s="5"/>
      <c r="D192" s="5"/>
    </row>
    <row r="193">
      <c r="A193" s="5"/>
      <c r="B193" s="5"/>
      <c r="D193" s="5"/>
    </row>
    <row r="194">
      <c r="A194" s="5"/>
      <c r="B194" s="5"/>
      <c r="D194" s="5"/>
    </row>
    <row r="195">
      <c r="A195" s="5"/>
      <c r="B195" s="5"/>
      <c r="D195" s="5"/>
    </row>
    <row r="196">
      <c r="A196" s="5"/>
      <c r="B196" s="5"/>
      <c r="D196" s="5"/>
    </row>
    <row r="197">
      <c r="A197" s="5"/>
      <c r="B197" s="5"/>
      <c r="D197" s="5"/>
    </row>
    <row r="198">
      <c r="A198" s="5"/>
      <c r="B198" s="5"/>
      <c r="D198" s="5"/>
    </row>
    <row r="199">
      <c r="A199" s="5"/>
      <c r="B199" s="5"/>
      <c r="D199" s="5"/>
    </row>
    <row r="200">
      <c r="A200" s="5"/>
      <c r="B200" s="5"/>
      <c r="D200" s="5"/>
    </row>
    <row r="201">
      <c r="A201" s="5"/>
      <c r="B201" s="5"/>
      <c r="D201" s="5"/>
    </row>
    <row r="202">
      <c r="A202" s="5"/>
      <c r="B202" s="5"/>
      <c r="D202" s="5"/>
    </row>
    <row r="203">
      <c r="A203" s="5"/>
      <c r="B203" s="5"/>
      <c r="D203" s="5"/>
    </row>
    <row r="204">
      <c r="A204" s="5"/>
      <c r="B204" s="5"/>
      <c r="D204" s="5"/>
    </row>
    <row r="205">
      <c r="A205" s="5"/>
      <c r="B205" s="5"/>
      <c r="D205" s="5"/>
    </row>
    <row r="206">
      <c r="A206" s="5"/>
      <c r="B206" s="5"/>
      <c r="D206" s="5"/>
    </row>
    <row r="207">
      <c r="A207" s="5"/>
      <c r="B207" s="5"/>
      <c r="D207" s="5"/>
    </row>
    <row r="208">
      <c r="A208" s="5"/>
      <c r="B208" s="5"/>
      <c r="D208" s="5"/>
    </row>
    <row r="209">
      <c r="A209" s="5"/>
      <c r="B209" s="5"/>
      <c r="D209" s="5"/>
    </row>
    <row r="210">
      <c r="A210" s="5"/>
      <c r="B210" s="5"/>
      <c r="D210" s="5"/>
    </row>
    <row r="211">
      <c r="A211" s="5"/>
      <c r="B211" s="5"/>
      <c r="D211" s="5"/>
    </row>
    <row r="212">
      <c r="A212" s="5"/>
      <c r="B212" s="5"/>
      <c r="D212" s="5"/>
    </row>
    <row r="213">
      <c r="A213" s="5"/>
      <c r="B213" s="5"/>
      <c r="D213" s="5"/>
    </row>
    <row r="214">
      <c r="A214" s="5"/>
      <c r="B214" s="5"/>
      <c r="D214" s="5"/>
    </row>
    <row r="215">
      <c r="A215" s="5"/>
      <c r="B215" s="5"/>
      <c r="D215" s="5"/>
    </row>
    <row r="216">
      <c r="A216" s="5"/>
      <c r="B216" s="5"/>
      <c r="D216" s="5"/>
    </row>
    <row r="217">
      <c r="A217" s="5"/>
      <c r="B217" s="5"/>
      <c r="D217" s="5"/>
    </row>
    <row r="218">
      <c r="A218" s="5"/>
      <c r="B218" s="5"/>
      <c r="D218" s="5"/>
    </row>
    <row r="219">
      <c r="A219" s="5"/>
      <c r="B219" s="5"/>
      <c r="D219" s="5"/>
    </row>
    <row r="220">
      <c r="A220" s="5"/>
      <c r="B220" s="5"/>
      <c r="D220" s="5"/>
    </row>
    <row r="221">
      <c r="A221" s="5"/>
      <c r="B221" s="5"/>
      <c r="D221" s="5"/>
    </row>
    <row r="222">
      <c r="A222" s="5"/>
      <c r="B222" s="5"/>
      <c r="D222" s="5"/>
    </row>
    <row r="223">
      <c r="A223" s="5"/>
      <c r="B223" s="5"/>
      <c r="D223" s="5"/>
    </row>
    <row r="224">
      <c r="A224" s="5"/>
      <c r="B224" s="5"/>
      <c r="D224" s="5"/>
    </row>
    <row r="225">
      <c r="A225" s="5"/>
      <c r="B225" s="5"/>
      <c r="D225" s="5"/>
    </row>
    <row r="226">
      <c r="A226" s="5"/>
      <c r="B226" s="5"/>
      <c r="D226" s="5"/>
    </row>
    <row r="227">
      <c r="A227" s="5"/>
      <c r="B227" s="5"/>
      <c r="D227" s="5"/>
    </row>
    <row r="228">
      <c r="A228" s="5"/>
      <c r="B228" s="5"/>
      <c r="D228" s="5"/>
    </row>
    <row r="229">
      <c r="A229" s="5"/>
      <c r="B229" s="5"/>
      <c r="D229" s="5"/>
    </row>
    <row r="230">
      <c r="A230" s="5"/>
      <c r="B230" s="5"/>
      <c r="D230" s="5"/>
    </row>
    <row r="231">
      <c r="A231" s="5"/>
      <c r="B231" s="5"/>
      <c r="D231" s="5"/>
    </row>
    <row r="232">
      <c r="A232" s="5"/>
      <c r="B232" s="5"/>
      <c r="D232" s="5"/>
    </row>
    <row r="233">
      <c r="A233" s="5"/>
      <c r="B233" s="5"/>
      <c r="D233" s="5"/>
    </row>
    <row r="234">
      <c r="A234" s="5"/>
      <c r="B234" s="5"/>
      <c r="D234" s="5"/>
    </row>
    <row r="235">
      <c r="A235" s="5"/>
      <c r="B235" s="5"/>
      <c r="D235" s="5"/>
    </row>
    <row r="236">
      <c r="A236" s="5"/>
      <c r="B236" s="5"/>
      <c r="D236" s="5"/>
    </row>
    <row r="237">
      <c r="A237" s="5"/>
      <c r="B237" s="5"/>
      <c r="D237" s="5"/>
    </row>
    <row r="238">
      <c r="A238" s="5"/>
      <c r="B238" s="5"/>
      <c r="D238" s="5"/>
    </row>
    <row r="239">
      <c r="A239" s="5"/>
      <c r="B239" s="5"/>
      <c r="D239" s="5"/>
    </row>
    <row r="240">
      <c r="A240" s="5"/>
      <c r="B240" s="5"/>
      <c r="D240" s="5"/>
    </row>
    <row r="241">
      <c r="A241" s="5"/>
      <c r="B241" s="5"/>
      <c r="D241" s="5"/>
    </row>
    <row r="242">
      <c r="A242" s="5"/>
      <c r="B242" s="5"/>
      <c r="D242" s="5"/>
    </row>
    <row r="243">
      <c r="A243" s="5"/>
      <c r="B243" s="5"/>
      <c r="D243" s="5"/>
    </row>
    <row r="244">
      <c r="A244" s="5"/>
      <c r="B244" s="5"/>
      <c r="D244" s="5"/>
    </row>
    <row r="245">
      <c r="A245" s="5"/>
      <c r="B245" s="5"/>
      <c r="D245" s="5"/>
    </row>
    <row r="246">
      <c r="A246" s="5"/>
      <c r="B246" s="5"/>
      <c r="D246" s="5"/>
    </row>
    <row r="247">
      <c r="A247" s="5"/>
      <c r="B247" s="5"/>
      <c r="D247" s="5"/>
    </row>
    <row r="248">
      <c r="A248" s="5"/>
      <c r="B248" s="5"/>
      <c r="D248" s="5"/>
    </row>
    <row r="249">
      <c r="A249" s="5"/>
      <c r="B249" s="5"/>
      <c r="D249" s="5"/>
    </row>
    <row r="250">
      <c r="A250" s="5"/>
      <c r="B250" s="5"/>
      <c r="D250" s="5"/>
    </row>
    <row r="251">
      <c r="A251" s="5"/>
      <c r="B251" s="5"/>
      <c r="D251" s="5"/>
    </row>
    <row r="252">
      <c r="A252" s="5"/>
      <c r="B252" s="5"/>
      <c r="D252" s="5"/>
    </row>
    <row r="253">
      <c r="A253" s="5"/>
      <c r="B253" s="5"/>
      <c r="D253" s="5"/>
    </row>
    <row r="254">
      <c r="A254" s="5"/>
      <c r="B254" s="5"/>
      <c r="D254" s="5"/>
    </row>
    <row r="255">
      <c r="A255" s="5"/>
      <c r="B255" s="5"/>
      <c r="D255" s="5"/>
    </row>
    <row r="256">
      <c r="A256" s="5"/>
      <c r="B256" s="5"/>
      <c r="D256" s="5"/>
    </row>
    <row r="257">
      <c r="A257" s="5"/>
      <c r="B257" s="5"/>
      <c r="D257" s="5"/>
    </row>
    <row r="258">
      <c r="A258" s="5"/>
      <c r="B258" s="5"/>
      <c r="D258" s="5"/>
    </row>
    <row r="259">
      <c r="A259" s="5"/>
      <c r="B259" s="5"/>
      <c r="D259" s="5"/>
    </row>
    <row r="260">
      <c r="A260" s="5"/>
      <c r="B260" s="5"/>
      <c r="D260" s="5"/>
    </row>
    <row r="261">
      <c r="A261" s="5"/>
      <c r="B261" s="5"/>
      <c r="D261" s="5"/>
    </row>
    <row r="262">
      <c r="A262" s="5"/>
      <c r="B262" s="5"/>
      <c r="D262" s="5"/>
    </row>
    <row r="263">
      <c r="A263" s="5"/>
      <c r="B263" s="5"/>
      <c r="D263" s="5"/>
    </row>
    <row r="264">
      <c r="A264" s="5"/>
      <c r="B264" s="5"/>
      <c r="D264" s="5"/>
    </row>
    <row r="265">
      <c r="A265" s="5"/>
      <c r="B265" s="5"/>
      <c r="D265" s="5"/>
    </row>
    <row r="266">
      <c r="A266" s="5"/>
      <c r="B266" s="5"/>
      <c r="D266" s="5"/>
    </row>
    <row r="267">
      <c r="A267" s="5"/>
      <c r="B267" s="5"/>
      <c r="D267" s="5"/>
    </row>
    <row r="268">
      <c r="A268" s="5"/>
      <c r="B268" s="5"/>
      <c r="D268" s="5"/>
    </row>
    <row r="269">
      <c r="A269" s="5"/>
      <c r="B269" s="5"/>
      <c r="D269" s="5"/>
    </row>
    <row r="270">
      <c r="A270" s="5"/>
      <c r="B270" s="5"/>
      <c r="D270" s="5"/>
    </row>
    <row r="271">
      <c r="A271" s="5"/>
      <c r="B271" s="5"/>
      <c r="D271" s="5"/>
    </row>
    <row r="272">
      <c r="A272" s="5"/>
      <c r="B272" s="5"/>
      <c r="D272" s="5"/>
    </row>
    <row r="273">
      <c r="A273" s="5"/>
      <c r="B273" s="5"/>
      <c r="D273" s="5"/>
    </row>
    <row r="274">
      <c r="A274" s="5"/>
      <c r="B274" s="5"/>
      <c r="D274" s="5"/>
    </row>
    <row r="275">
      <c r="A275" s="5"/>
      <c r="B275" s="5"/>
      <c r="D275" s="5"/>
    </row>
    <row r="276">
      <c r="A276" s="5"/>
      <c r="B276" s="5"/>
      <c r="D276" s="5"/>
    </row>
    <row r="277">
      <c r="A277" s="5"/>
      <c r="B277" s="5"/>
      <c r="D277" s="5"/>
    </row>
    <row r="278">
      <c r="A278" s="5"/>
      <c r="B278" s="5"/>
      <c r="D278" s="5"/>
    </row>
    <row r="279">
      <c r="A279" s="5"/>
      <c r="B279" s="5"/>
      <c r="D279" s="5"/>
    </row>
    <row r="280">
      <c r="A280" s="5"/>
      <c r="B280" s="5"/>
      <c r="D280" s="5"/>
    </row>
    <row r="281">
      <c r="A281" s="5"/>
      <c r="B281" s="5"/>
      <c r="D281" s="5"/>
    </row>
    <row r="282">
      <c r="A282" s="5"/>
      <c r="B282" s="5"/>
      <c r="D282" s="5"/>
    </row>
    <row r="283">
      <c r="A283" s="5"/>
      <c r="B283" s="5"/>
      <c r="D283" s="5"/>
    </row>
    <row r="284">
      <c r="A284" s="5"/>
      <c r="B284" s="5"/>
      <c r="D284" s="5"/>
    </row>
    <row r="285">
      <c r="A285" s="5"/>
      <c r="B285" s="5"/>
      <c r="D285" s="5"/>
    </row>
    <row r="286">
      <c r="A286" s="5"/>
      <c r="B286" s="5"/>
      <c r="D286" s="5"/>
    </row>
    <row r="287">
      <c r="A287" s="5"/>
      <c r="B287" s="5"/>
      <c r="D287" s="5"/>
    </row>
    <row r="288">
      <c r="A288" s="5"/>
      <c r="B288" s="5"/>
      <c r="D288" s="5"/>
    </row>
    <row r="289">
      <c r="A289" s="5"/>
      <c r="B289" s="5"/>
      <c r="D289" s="5"/>
    </row>
    <row r="290">
      <c r="A290" s="5"/>
      <c r="B290" s="5"/>
      <c r="D290" s="5"/>
    </row>
    <row r="291">
      <c r="A291" s="5"/>
      <c r="B291" s="5"/>
      <c r="D291" s="5"/>
    </row>
    <row r="292">
      <c r="A292" s="5"/>
      <c r="B292" s="5"/>
      <c r="D292" s="5"/>
    </row>
    <row r="293">
      <c r="A293" s="5"/>
      <c r="B293" s="5"/>
      <c r="D293" s="5"/>
    </row>
    <row r="294">
      <c r="A294" s="5"/>
      <c r="B294" s="5"/>
      <c r="D294" s="5"/>
    </row>
    <row r="295">
      <c r="A295" s="5"/>
      <c r="B295" s="5"/>
      <c r="D295" s="5"/>
    </row>
    <row r="296">
      <c r="A296" s="5"/>
      <c r="B296" s="5"/>
      <c r="D296" s="5"/>
    </row>
    <row r="297">
      <c r="A297" s="5"/>
      <c r="B297" s="5"/>
      <c r="D297" s="5"/>
    </row>
    <row r="298">
      <c r="A298" s="5"/>
      <c r="B298" s="5"/>
      <c r="D298" s="5"/>
    </row>
    <row r="299">
      <c r="A299" s="5"/>
      <c r="B299" s="5"/>
      <c r="D299" s="5"/>
    </row>
    <row r="300">
      <c r="A300" s="5"/>
      <c r="B300" s="5"/>
      <c r="D300" s="5"/>
    </row>
    <row r="301">
      <c r="A301" s="5"/>
      <c r="B301" s="5"/>
      <c r="D301" s="5"/>
    </row>
    <row r="302">
      <c r="A302" s="5"/>
      <c r="B302" s="5"/>
      <c r="D302" s="5"/>
    </row>
    <row r="303">
      <c r="A303" s="5"/>
      <c r="B303" s="5"/>
      <c r="D303" s="5"/>
    </row>
    <row r="304">
      <c r="A304" s="5"/>
      <c r="B304" s="5"/>
      <c r="D304" s="5"/>
    </row>
    <row r="305">
      <c r="A305" s="5"/>
      <c r="B305" s="5"/>
      <c r="D305" s="5"/>
    </row>
    <row r="306">
      <c r="A306" s="5"/>
      <c r="B306" s="5"/>
      <c r="D306" s="5"/>
    </row>
    <row r="307">
      <c r="A307" s="5"/>
      <c r="B307" s="5"/>
      <c r="D307" s="5"/>
    </row>
    <row r="308">
      <c r="A308" s="5"/>
      <c r="B308" s="5"/>
      <c r="D308" s="5"/>
    </row>
    <row r="309">
      <c r="A309" s="5"/>
      <c r="B309" s="5"/>
      <c r="D309" s="5"/>
    </row>
    <row r="310">
      <c r="A310" s="5"/>
      <c r="B310" s="5"/>
      <c r="D310" s="5"/>
    </row>
    <row r="311">
      <c r="A311" s="5"/>
      <c r="B311" s="5"/>
      <c r="D311" s="5"/>
    </row>
    <row r="312">
      <c r="A312" s="5"/>
      <c r="B312" s="5"/>
      <c r="D312" s="5"/>
    </row>
    <row r="313">
      <c r="A313" s="5"/>
      <c r="B313" s="5"/>
      <c r="D313" s="5"/>
    </row>
    <row r="314">
      <c r="A314" s="5"/>
      <c r="B314" s="5"/>
      <c r="D314" s="5"/>
    </row>
    <row r="315">
      <c r="A315" s="5"/>
      <c r="B315" s="5"/>
      <c r="D315" s="5"/>
    </row>
    <row r="316">
      <c r="A316" s="5"/>
      <c r="B316" s="5"/>
      <c r="D316" s="5"/>
    </row>
    <row r="317">
      <c r="A317" s="5"/>
      <c r="B317" s="5"/>
      <c r="D317" s="5"/>
    </row>
    <row r="318">
      <c r="A318" s="5"/>
      <c r="B318" s="5"/>
      <c r="D318" s="5"/>
    </row>
    <row r="319">
      <c r="A319" s="5"/>
      <c r="B319" s="5"/>
      <c r="D319" s="5"/>
    </row>
    <row r="320">
      <c r="A320" s="5"/>
      <c r="B320" s="5"/>
      <c r="D320" s="5"/>
    </row>
    <row r="321">
      <c r="A321" s="5"/>
      <c r="B321" s="5"/>
      <c r="D321" s="5"/>
    </row>
    <row r="322">
      <c r="A322" s="5"/>
      <c r="B322" s="5"/>
      <c r="D322" s="5"/>
    </row>
    <row r="323">
      <c r="A323" s="5"/>
      <c r="B323" s="5"/>
      <c r="D323" s="5"/>
    </row>
    <row r="324">
      <c r="A324" s="5"/>
      <c r="B324" s="5"/>
      <c r="D324" s="5"/>
    </row>
    <row r="325">
      <c r="A325" s="5"/>
      <c r="B325" s="5"/>
      <c r="D325" s="5"/>
    </row>
    <row r="326">
      <c r="A326" s="5"/>
      <c r="B326" s="5"/>
      <c r="D326" s="5"/>
    </row>
    <row r="327">
      <c r="A327" s="5"/>
      <c r="B327" s="5"/>
      <c r="D327" s="5"/>
    </row>
    <row r="328">
      <c r="A328" s="5"/>
      <c r="B328" s="5"/>
      <c r="D328" s="5"/>
    </row>
    <row r="329">
      <c r="A329" s="5"/>
      <c r="B329" s="5"/>
      <c r="D329" s="5"/>
    </row>
    <row r="330">
      <c r="A330" s="5"/>
      <c r="B330" s="5"/>
      <c r="D330" s="5"/>
    </row>
    <row r="331">
      <c r="A331" s="5"/>
      <c r="B331" s="5"/>
      <c r="D331" s="5"/>
    </row>
    <row r="332">
      <c r="A332" s="5"/>
      <c r="B332" s="5"/>
      <c r="D332" s="5"/>
    </row>
    <row r="333">
      <c r="A333" s="5"/>
      <c r="B333" s="5"/>
      <c r="D333" s="5"/>
    </row>
    <row r="334">
      <c r="A334" s="5"/>
      <c r="B334" s="5"/>
      <c r="D334" s="5"/>
    </row>
    <row r="335">
      <c r="A335" s="5"/>
      <c r="B335" s="5"/>
      <c r="D335" s="5"/>
    </row>
    <row r="336">
      <c r="A336" s="5"/>
      <c r="B336" s="5"/>
      <c r="D336" s="5"/>
    </row>
    <row r="337">
      <c r="A337" s="5"/>
      <c r="B337" s="5"/>
      <c r="D337" s="5"/>
    </row>
    <row r="338">
      <c r="A338" s="5"/>
      <c r="B338" s="5"/>
      <c r="D338" s="5"/>
    </row>
    <row r="339">
      <c r="A339" s="5"/>
      <c r="B339" s="5"/>
      <c r="D339" s="5"/>
    </row>
    <row r="340">
      <c r="A340" s="5"/>
      <c r="B340" s="5"/>
      <c r="D340" s="5"/>
    </row>
    <row r="341">
      <c r="A341" s="5"/>
      <c r="B341" s="5"/>
      <c r="D341" s="5"/>
    </row>
    <row r="342">
      <c r="A342" s="5"/>
      <c r="B342" s="5"/>
      <c r="D342" s="5"/>
    </row>
    <row r="343">
      <c r="A343" s="5"/>
      <c r="B343" s="5"/>
      <c r="D343" s="5"/>
    </row>
    <row r="344">
      <c r="A344" s="5"/>
      <c r="B344" s="5"/>
      <c r="D344" s="5"/>
    </row>
    <row r="345">
      <c r="A345" s="5"/>
      <c r="B345" s="5"/>
      <c r="D345" s="5"/>
    </row>
    <row r="346">
      <c r="A346" s="5"/>
      <c r="B346" s="5"/>
      <c r="D346" s="5"/>
    </row>
    <row r="347">
      <c r="A347" s="5"/>
      <c r="B347" s="5"/>
      <c r="D347" s="5"/>
    </row>
    <row r="348">
      <c r="A348" s="5"/>
      <c r="B348" s="5"/>
      <c r="D348" s="5"/>
    </row>
    <row r="349">
      <c r="A349" s="5"/>
      <c r="B349" s="5"/>
      <c r="D349" s="5"/>
    </row>
    <row r="350">
      <c r="A350" s="5"/>
      <c r="B350" s="5"/>
      <c r="D350" s="5"/>
    </row>
    <row r="351">
      <c r="A351" s="5"/>
      <c r="B351" s="5"/>
      <c r="D351" s="5"/>
    </row>
    <row r="352">
      <c r="A352" s="5"/>
      <c r="B352" s="5"/>
      <c r="D352" s="5"/>
    </row>
    <row r="353">
      <c r="A353" s="5"/>
      <c r="B353" s="5"/>
      <c r="D353" s="5"/>
    </row>
    <row r="354">
      <c r="A354" s="5"/>
      <c r="B354" s="5"/>
      <c r="D354" s="5"/>
    </row>
    <row r="355">
      <c r="A355" s="5"/>
      <c r="B355" s="5"/>
      <c r="D355" s="5"/>
    </row>
    <row r="356">
      <c r="A356" s="5"/>
      <c r="B356" s="5"/>
      <c r="D356" s="5"/>
    </row>
    <row r="357">
      <c r="A357" s="5"/>
      <c r="B357" s="5"/>
      <c r="D357" s="5"/>
    </row>
    <row r="358">
      <c r="A358" s="5"/>
      <c r="B358" s="5"/>
      <c r="D358" s="5"/>
    </row>
    <row r="359">
      <c r="A359" s="5"/>
      <c r="B359" s="5"/>
      <c r="D359" s="5"/>
    </row>
    <row r="360">
      <c r="A360" s="5"/>
      <c r="B360" s="5"/>
      <c r="D360" s="5"/>
    </row>
    <row r="361">
      <c r="A361" s="5"/>
      <c r="B361" s="5"/>
      <c r="D361" s="5"/>
    </row>
    <row r="362">
      <c r="A362" s="5"/>
      <c r="B362" s="5"/>
      <c r="D362" s="5"/>
    </row>
    <row r="363">
      <c r="A363" s="5"/>
      <c r="B363" s="5"/>
      <c r="D363" s="5"/>
    </row>
    <row r="364">
      <c r="A364" s="5"/>
      <c r="B364" s="5"/>
      <c r="D364" s="5"/>
    </row>
    <row r="365">
      <c r="A365" s="5"/>
      <c r="B365" s="5"/>
      <c r="D365" s="5"/>
    </row>
    <row r="366">
      <c r="A366" s="5"/>
      <c r="B366" s="5"/>
      <c r="D366" s="5"/>
    </row>
    <row r="367">
      <c r="A367" s="5"/>
      <c r="B367" s="5"/>
      <c r="D367" s="5"/>
    </row>
    <row r="368">
      <c r="A368" s="5"/>
      <c r="B368" s="5"/>
      <c r="D368" s="5"/>
    </row>
    <row r="369">
      <c r="A369" s="5"/>
      <c r="B369" s="5"/>
      <c r="D369" s="5"/>
    </row>
    <row r="370">
      <c r="A370" s="5"/>
      <c r="B370" s="5"/>
      <c r="D370" s="5"/>
    </row>
    <row r="371">
      <c r="A371" s="5"/>
      <c r="B371" s="5"/>
      <c r="D371" s="5"/>
    </row>
    <row r="372">
      <c r="A372" s="5"/>
      <c r="B372" s="5"/>
      <c r="D372" s="5"/>
    </row>
    <row r="373">
      <c r="A373" s="5"/>
      <c r="B373" s="5"/>
      <c r="D373" s="5"/>
    </row>
    <row r="374">
      <c r="A374" s="5"/>
      <c r="B374" s="5"/>
      <c r="D374" s="5"/>
    </row>
    <row r="375">
      <c r="A375" s="5"/>
      <c r="B375" s="5"/>
      <c r="D375" s="5"/>
    </row>
    <row r="376">
      <c r="A376" s="5"/>
      <c r="B376" s="5"/>
      <c r="D376" s="5"/>
    </row>
    <row r="377">
      <c r="A377" s="5"/>
      <c r="B377" s="5"/>
      <c r="D377" s="5"/>
    </row>
    <row r="378">
      <c r="A378" s="5"/>
      <c r="B378" s="5"/>
      <c r="D378" s="5"/>
    </row>
    <row r="379">
      <c r="A379" s="5"/>
      <c r="B379" s="5"/>
      <c r="D379" s="5"/>
    </row>
    <row r="380">
      <c r="A380" s="5"/>
      <c r="B380" s="5"/>
      <c r="D380" s="5"/>
    </row>
    <row r="381">
      <c r="A381" s="5"/>
      <c r="B381" s="5"/>
      <c r="D381" s="5"/>
    </row>
    <row r="382">
      <c r="A382" s="5"/>
      <c r="B382" s="5"/>
      <c r="D382" s="5"/>
    </row>
    <row r="383">
      <c r="A383" s="5"/>
      <c r="B383" s="5"/>
      <c r="D383" s="5"/>
    </row>
    <row r="384">
      <c r="A384" s="5"/>
      <c r="B384" s="5"/>
      <c r="D384" s="5"/>
    </row>
    <row r="385">
      <c r="A385" s="5"/>
      <c r="B385" s="5"/>
      <c r="D385" s="5"/>
    </row>
    <row r="386">
      <c r="A386" s="5"/>
      <c r="B386" s="5"/>
      <c r="D386" s="5"/>
    </row>
    <row r="387">
      <c r="A387" s="5"/>
      <c r="B387" s="5"/>
      <c r="D387" s="5"/>
    </row>
    <row r="388">
      <c r="A388" s="5"/>
      <c r="B388" s="5"/>
      <c r="D388" s="5"/>
    </row>
    <row r="389">
      <c r="A389" s="5"/>
      <c r="B389" s="5"/>
      <c r="D389" s="5"/>
    </row>
    <row r="390">
      <c r="A390" s="5"/>
      <c r="B390" s="5"/>
      <c r="D390" s="5"/>
    </row>
    <row r="391">
      <c r="A391" s="5"/>
      <c r="B391" s="5"/>
      <c r="D391" s="5"/>
    </row>
    <row r="392">
      <c r="A392" s="5"/>
      <c r="B392" s="5"/>
      <c r="D392" s="5"/>
    </row>
    <row r="393">
      <c r="A393" s="5"/>
      <c r="B393" s="5"/>
      <c r="D393" s="5"/>
    </row>
    <row r="394">
      <c r="A394" s="5"/>
      <c r="B394" s="5"/>
      <c r="D394" s="5"/>
    </row>
    <row r="395">
      <c r="A395" s="5"/>
      <c r="B395" s="5"/>
      <c r="D395" s="5"/>
    </row>
    <row r="396">
      <c r="A396" s="5"/>
      <c r="B396" s="5"/>
      <c r="D396" s="5"/>
    </row>
    <row r="397">
      <c r="A397" s="5"/>
      <c r="B397" s="5"/>
      <c r="D397" s="5"/>
    </row>
    <row r="398">
      <c r="A398" s="5"/>
      <c r="B398" s="5"/>
      <c r="D398" s="5"/>
    </row>
    <row r="399">
      <c r="A399" s="5"/>
      <c r="B399" s="5"/>
      <c r="D399" s="5"/>
    </row>
    <row r="400">
      <c r="A400" s="5"/>
      <c r="B400" s="5"/>
      <c r="D400" s="5"/>
    </row>
    <row r="401">
      <c r="A401" s="5"/>
      <c r="B401" s="5"/>
      <c r="D401" s="5"/>
    </row>
    <row r="402">
      <c r="A402" s="5"/>
      <c r="B402" s="5"/>
      <c r="D402" s="5"/>
    </row>
    <row r="403">
      <c r="A403" s="5"/>
      <c r="B403" s="5"/>
      <c r="D403" s="5"/>
    </row>
    <row r="404">
      <c r="A404" s="5"/>
      <c r="B404" s="5"/>
      <c r="D404" s="5"/>
    </row>
    <row r="405">
      <c r="A405" s="5"/>
      <c r="B405" s="5"/>
      <c r="D405" s="5"/>
    </row>
    <row r="406">
      <c r="A406" s="5"/>
      <c r="B406" s="5"/>
      <c r="D406" s="5"/>
    </row>
    <row r="407">
      <c r="A407" s="5"/>
      <c r="B407" s="5"/>
      <c r="D407" s="5"/>
    </row>
    <row r="408">
      <c r="A408" s="5"/>
      <c r="B408" s="5"/>
      <c r="D408" s="5"/>
    </row>
    <row r="409">
      <c r="A409" s="5"/>
      <c r="B409" s="5"/>
      <c r="D409" s="5"/>
    </row>
    <row r="410">
      <c r="A410" s="5"/>
      <c r="B410" s="5"/>
      <c r="D410" s="5"/>
    </row>
    <row r="411">
      <c r="A411" s="5"/>
      <c r="B411" s="5"/>
      <c r="D411" s="5"/>
    </row>
    <row r="412">
      <c r="A412" s="5"/>
      <c r="B412" s="5"/>
      <c r="D412" s="5"/>
    </row>
    <row r="413">
      <c r="A413" s="5"/>
      <c r="B413" s="5"/>
      <c r="D413" s="5"/>
    </row>
    <row r="414">
      <c r="A414" s="5"/>
      <c r="B414" s="5"/>
      <c r="D414" s="5"/>
    </row>
    <row r="415">
      <c r="A415" s="5"/>
      <c r="B415" s="5"/>
      <c r="D415" s="5"/>
    </row>
    <row r="416">
      <c r="A416" s="5"/>
      <c r="B416" s="5"/>
      <c r="D416" s="5"/>
    </row>
    <row r="417">
      <c r="A417" s="5"/>
      <c r="B417" s="5"/>
      <c r="D417" s="5"/>
    </row>
    <row r="418">
      <c r="A418" s="5"/>
      <c r="B418" s="5"/>
      <c r="D418" s="5"/>
    </row>
    <row r="419">
      <c r="A419" s="5"/>
      <c r="B419" s="5"/>
      <c r="D419" s="5"/>
    </row>
    <row r="420">
      <c r="A420" s="5"/>
      <c r="B420" s="5"/>
      <c r="D420" s="5"/>
    </row>
    <row r="421">
      <c r="A421" s="5"/>
      <c r="B421" s="5"/>
      <c r="D421" s="5"/>
    </row>
    <row r="422">
      <c r="A422" s="5"/>
      <c r="B422" s="5"/>
      <c r="D422" s="5"/>
    </row>
    <row r="423">
      <c r="A423" s="5"/>
      <c r="B423" s="5"/>
      <c r="D423" s="5"/>
    </row>
    <row r="424">
      <c r="A424" s="5"/>
      <c r="B424" s="5"/>
      <c r="D424" s="5"/>
    </row>
    <row r="425">
      <c r="A425" s="5"/>
      <c r="B425" s="5"/>
      <c r="D425" s="5"/>
    </row>
    <row r="426">
      <c r="A426" s="5"/>
      <c r="B426" s="5"/>
      <c r="D426" s="5"/>
    </row>
    <row r="427">
      <c r="A427" s="5"/>
      <c r="B427" s="5"/>
      <c r="D427" s="5"/>
    </row>
    <row r="428">
      <c r="A428" s="5"/>
      <c r="B428" s="5"/>
      <c r="D428" s="5"/>
    </row>
    <row r="429">
      <c r="A429" s="5"/>
      <c r="B429" s="5"/>
      <c r="D429" s="5"/>
    </row>
    <row r="430">
      <c r="A430" s="5"/>
      <c r="B430" s="5"/>
      <c r="D430" s="5"/>
    </row>
    <row r="431">
      <c r="A431" s="5"/>
      <c r="B431" s="5"/>
      <c r="D431" s="5"/>
    </row>
    <row r="432">
      <c r="A432" s="5"/>
      <c r="B432" s="5"/>
      <c r="D432" s="5"/>
    </row>
    <row r="433">
      <c r="A433" s="5"/>
      <c r="B433" s="5"/>
      <c r="D433" s="5"/>
    </row>
    <row r="434">
      <c r="A434" s="5"/>
      <c r="B434" s="5"/>
      <c r="D434" s="5"/>
    </row>
    <row r="435">
      <c r="A435" s="5"/>
      <c r="B435" s="5"/>
      <c r="D435" s="5"/>
    </row>
    <row r="436">
      <c r="A436" s="5"/>
      <c r="B436" s="5"/>
      <c r="D436" s="5"/>
    </row>
    <row r="437">
      <c r="A437" s="5"/>
      <c r="B437" s="5"/>
      <c r="D437" s="5"/>
    </row>
    <row r="438">
      <c r="A438" s="5"/>
      <c r="B438" s="5"/>
      <c r="D438" s="5"/>
    </row>
    <row r="439">
      <c r="A439" s="5"/>
      <c r="B439" s="5"/>
      <c r="D439" s="5"/>
    </row>
    <row r="440">
      <c r="A440" s="5"/>
      <c r="B440" s="5"/>
      <c r="D440" s="5"/>
    </row>
    <row r="441">
      <c r="A441" s="5"/>
      <c r="B441" s="5"/>
      <c r="D441" s="5"/>
    </row>
    <row r="442">
      <c r="A442" s="5"/>
      <c r="B442" s="5"/>
      <c r="D442" s="5"/>
    </row>
    <row r="443">
      <c r="A443" s="5"/>
      <c r="B443" s="5"/>
      <c r="D443" s="5"/>
    </row>
    <row r="444">
      <c r="A444" s="5"/>
      <c r="B444" s="5"/>
      <c r="D444" s="5"/>
    </row>
    <row r="445">
      <c r="A445" s="5"/>
      <c r="B445" s="5"/>
      <c r="D445" s="5"/>
    </row>
    <row r="446">
      <c r="A446" s="5"/>
      <c r="B446" s="5"/>
      <c r="D446" s="5"/>
    </row>
    <row r="447">
      <c r="A447" s="5"/>
      <c r="B447" s="5"/>
      <c r="D447" s="5"/>
    </row>
    <row r="448">
      <c r="A448" s="5"/>
      <c r="B448" s="5"/>
      <c r="D448" s="5"/>
    </row>
    <row r="449">
      <c r="A449" s="5"/>
      <c r="B449" s="5"/>
      <c r="D449" s="5"/>
    </row>
    <row r="450">
      <c r="A450" s="5"/>
      <c r="B450" s="5"/>
      <c r="D450" s="5"/>
    </row>
    <row r="451">
      <c r="A451" s="5"/>
      <c r="B451" s="5"/>
      <c r="D451" s="5"/>
    </row>
    <row r="452">
      <c r="A452" s="5"/>
      <c r="B452" s="5"/>
      <c r="D452" s="5"/>
    </row>
    <row r="453">
      <c r="A453" s="5"/>
      <c r="B453" s="5"/>
      <c r="D453" s="5"/>
    </row>
    <row r="454">
      <c r="A454" s="5"/>
      <c r="B454" s="5"/>
      <c r="D454" s="5"/>
    </row>
    <row r="455">
      <c r="A455" s="5"/>
      <c r="B455" s="5"/>
      <c r="D455" s="5"/>
    </row>
    <row r="456">
      <c r="A456" s="5"/>
      <c r="B456" s="5"/>
      <c r="D456" s="5"/>
    </row>
    <row r="457">
      <c r="A457" s="5"/>
      <c r="B457" s="5"/>
      <c r="D457" s="5"/>
    </row>
    <row r="458">
      <c r="A458" s="5"/>
      <c r="B458" s="5"/>
      <c r="D458" s="5"/>
    </row>
    <row r="459">
      <c r="A459" s="5"/>
      <c r="B459" s="5"/>
      <c r="D459" s="5"/>
    </row>
    <row r="460">
      <c r="A460" s="5"/>
      <c r="B460" s="5"/>
      <c r="D460" s="5"/>
    </row>
    <row r="461">
      <c r="A461" s="5"/>
      <c r="B461" s="5"/>
      <c r="D461" s="5"/>
    </row>
    <row r="462">
      <c r="A462" s="5"/>
      <c r="B462" s="5"/>
      <c r="D462" s="5"/>
    </row>
    <row r="463">
      <c r="A463" s="5"/>
      <c r="B463" s="5"/>
      <c r="D463" s="5"/>
    </row>
    <row r="464">
      <c r="A464" s="5"/>
      <c r="B464" s="5"/>
      <c r="D464" s="5"/>
    </row>
    <row r="465">
      <c r="A465" s="5"/>
      <c r="B465" s="5"/>
      <c r="D465" s="5"/>
    </row>
    <row r="466">
      <c r="A466" s="5"/>
      <c r="B466" s="5"/>
      <c r="D466" s="5"/>
    </row>
    <row r="467">
      <c r="A467" s="5"/>
      <c r="B467" s="5"/>
      <c r="D467" s="5"/>
    </row>
    <row r="468">
      <c r="A468" s="5"/>
      <c r="B468" s="5"/>
      <c r="D468" s="5"/>
    </row>
    <row r="469">
      <c r="A469" s="5"/>
      <c r="B469" s="5"/>
      <c r="D469" s="5"/>
    </row>
    <row r="470">
      <c r="A470" s="5"/>
      <c r="B470" s="5"/>
      <c r="D470" s="5"/>
    </row>
    <row r="471">
      <c r="A471" s="5"/>
      <c r="B471" s="5"/>
      <c r="D471" s="5"/>
    </row>
    <row r="472">
      <c r="A472" s="5"/>
      <c r="B472" s="5"/>
      <c r="D472" s="5"/>
    </row>
    <row r="473">
      <c r="A473" s="5"/>
      <c r="B473" s="5"/>
      <c r="D473" s="5"/>
    </row>
    <row r="474">
      <c r="A474" s="5"/>
      <c r="B474" s="5"/>
      <c r="D474" s="5"/>
    </row>
    <row r="475">
      <c r="A475" s="5"/>
      <c r="B475" s="5"/>
      <c r="D475" s="5"/>
    </row>
    <row r="476">
      <c r="A476" s="5"/>
      <c r="B476" s="5"/>
      <c r="D476" s="5"/>
    </row>
    <row r="477">
      <c r="A477" s="5"/>
      <c r="B477" s="5"/>
      <c r="D477" s="5"/>
    </row>
    <row r="478">
      <c r="A478" s="5"/>
      <c r="B478" s="5"/>
      <c r="D478" s="5"/>
    </row>
    <row r="479">
      <c r="A479" s="5"/>
      <c r="B479" s="5"/>
      <c r="D479" s="5"/>
    </row>
    <row r="480">
      <c r="A480" s="5"/>
      <c r="B480" s="5"/>
      <c r="D480" s="5"/>
    </row>
    <row r="481">
      <c r="A481" s="5"/>
      <c r="B481" s="5"/>
      <c r="D481" s="5"/>
    </row>
    <row r="482">
      <c r="A482" s="5"/>
      <c r="B482" s="5"/>
      <c r="D482" s="5"/>
    </row>
    <row r="483">
      <c r="A483" s="5"/>
      <c r="B483" s="5"/>
      <c r="D483" s="5"/>
    </row>
    <row r="484">
      <c r="A484" s="5"/>
      <c r="B484" s="5"/>
      <c r="D484" s="5"/>
    </row>
    <row r="485">
      <c r="A485" s="5"/>
      <c r="B485" s="5"/>
      <c r="D485" s="5"/>
    </row>
    <row r="486">
      <c r="A486" s="5"/>
      <c r="B486" s="5"/>
      <c r="D486" s="5"/>
    </row>
    <row r="487">
      <c r="A487" s="5"/>
      <c r="B487" s="5"/>
      <c r="D487" s="5"/>
    </row>
    <row r="488">
      <c r="A488" s="5"/>
      <c r="B488" s="5"/>
      <c r="D488" s="5"/>
    </row>
    <row r="489">
      <c r="A489" s="5"/>
      <c r="B489" s="5"/>
      <c r="D489" s="5"/>
    </row>
    <row r="490">
      <c r="A490" s="5"/>
      <c r="B490" s="5"/>
      <c r="D490" s="5"/>
    </row>
    <row r="491">
      <c r="A491" s="5"/>
      <c r="B491" s="5"/>
      <c r="D491" s="5"/>
    </row>
    <row r="492">
      <c r="A492" s="5"/>
      <c r="B492" s="5"/>
      <c r="D492" s="5"/>
    </row>
    <row r="493">
      <c r="A493" s="5"/>
      <c r="B493" s="5"/>
      <c r="D493" s="5"/>
    </row>
    <row r="494">
      <c r="A494" s="5"/>
      <c r="B494" s="5"/>
      <c r="D494" s="5"/>
    </row>
    <row r="495">
      <c r="A495" s="5"/>
      <c r="B495" s="5"/>
      <c r="D495" s="5"/>
    </row>
    <row r="496">
      <c r="A496" s="5"/>
      <c r="B496" s="5"/>
      <c r="D496" s="5"/>
    </row>
    <row r="497">
      <c r="A497" s="5"/>
      <c r="B497" s="5"/>
      <c r="D497" s="5"/>
    </row>
    <row r="498">
      <c r="A498" s="5"/>
      <c r="B498" s="5"/>
      <c r="D498" s="5"/>
    </row>
    <row r="499">
      <c r="A499" s="5"/>
      <c r="B499" s="5"/>
      <c r="D499" s="5"/>
    </row>
    <row r="500">
      <c r="A500" s="5"/>
      <c r="B500" s="5"/>
      <c r="D500" s="5"/>
    </row>
    <row r="501">
      <c r="A501" s="5"/>
      <c r="B501" s="5"/>
      <c r="D501" s="5"/>
    </row>
    <row r="502">
      <c r="A502" s="5"/>
      <c r="B502" s="5"/>
      <c r="D502" s="5"/>
    </row>
    <row r="503">
      <c r="A503" s="5"/>
      <c r="B503" s="5"/>
      <c r="D503" s="5"/>
    </row>
    <row r="504">
      <c r="A504" s="5"/>
      <c r="B504" s="5"/>
      <c r="D504" s="5"/>
    </row>
    <row r="505">
      <c r="A505" s="5"/>
      <c r="B505" s="5"/>
      <c r="D505" s="5"/>
    </row>
    <row r="506">
      <c r="A506" s="5"/>
      <c r="B506" s="5"/>
      <c r="D506" s="5"/>
    </row>
    <row r="507">
      <c r="A507" s="5"/>
      <c r="B507" s="5"/>
      <c r="D507" s="5"/>
    </row>
    <row r="508">
      <c r="A508" s="5"/>
      <c r="B508" s="5"/>
      <c r="D508" s="5"/>
    </row>
    <row r="509">
      <c r="A509" s="5"/>
      <c r="B509" s="5"/>
      <c r="D509" s="5"/>
    </row>
    <row r="510">
      <c r="A510" s="5"/>
      <c r="B510" s="5"/>
      <c r="D510" s="5"/>
    </row>
    <row r="511">
      <c r="A511" s="5"/>
      <c r="B511" s="5"/>
      <c r="D511" s="5"/>
    </row>
    <row r="512">
      <c r="A512" s="5"/>
      <c r="B512" s="5"/>
      <c r="D512" s="5"/>
    </row>
    <row r="513">
      <c r="A513" s="5"/>
      <c r="B513" s="5"/>
      <c r="D513" s="5"/>
    </row>
    <row r="514">
      <c r="A514" s="5"/>
      <c r="B514" s="5"/>
      <c r="D514" s="5"/>
    </row>
    <row r="515">
      <c r="A515" s="5"/>
      <c r="B515" s="5"/>
      <c r="D515" s="5"/>
    </row>
    <row r="516">
      <c r="A516" s="5"/>
      <c r="B516" s="5"/>
      <c r="D516" s="5"/>
    </row>
    <row r="517">
      <c r="A517" s="5"/>
      <c r="B517" s="5"/>
      <c r="D517" s="5"/>
    </row>
    <row r="518">
      <c r="A518" s="5"/>
      <c r="B518" s="5"/>
      <c r="D518" s="5"/>
    </row>
    <row r="519">
      <c r="A519" s="5"/>
      <c r="B519" s="5"/>
      <c r="D519" s="5"/>
    </row>
    <row r="520">
      <c r="A520" s="5"/>
      <c r="B520" s="5"/>
      <c r="D520" s="5"/>
    </row>
    <row r="521">
      <c r="A521" s="5"/>
      <c r="B521" s="5"/>
      <c r="D521" s="5"/>
    </row>
    <row r="522">
      <c r="A522" s="5"/>
      <c r="B522" s="5"/>
      <c r="D522" s="5"/>
    </row>
    <row r="523">
      <c r="A523" s="5"/>
      <c r="B523" s="5"/>
      <c r="D523" s="5"/>
    </row>
    <row r="524">
      <c r="A524" s="5"/>
      <c r="B524" s="5"/>
      <c r="D524" s="5"/>
    </row>
    <row r="525">
      <c r="A525" s="5"/>
      <c r="B525" s="5"/>
      <c r="D525" s="5"/>
    </row>
    <row r="526">
      <c r="A526" s="5"/>
      <c r="B526" s="5"/>
      <c r="D526" s="5"/>
    </row>
    <row r="527">
      <c r="A527" s="5"/>
      <c r="B527" s="5"/>
      <c r="D527" s="5"/>
    </row>
    <row r="528">
      <c r="A528" s="5"/>
      <c r="B528" s="5"/>
      <c r="D528" s="5"/>
    </row>
    <row r="529">
      <c r="A529" s="5"/>
      <c r="B529" s="5"/>
      <c r="D529" s="5"/>
    </row>
    <row r="530">
      <c r="A530" s="5"/>
      <c r="B530" s="5"/>
      <c r="D530" s="5"/>
    </row>
    <row r="531">
      <c r="A531" s="5"/>
      <c r="B531" s="5"/>
      <c r="D531" s="5"/>
    </row>
    <row r="532">
      <c r="A532" s="5"/>
      <c r="B532" s="5"/>
      <c r="D532" s="5"/>
    </row>
    <row r="533">
      <c r="A533" s="5"/>
      <c r="B533" s="5"/>
      <c r="D533" s="5"/>
    </row>
    <row r="534">
      <c r="A534" s="5"/>
      <c r="B534" s="5"/>
      <c r="D534" s="5"/>
    </row>
    <row r="535">
      <c r="A535" s="5"/>
      <c r="B535" s="5"/>
      <c r="D535" s="5"/>
    </row>
    <row r="536">
      <c r="A536" s="5"/>
      <c r="B536" s="5"/>
      <c r="D536" s="5"/>
    </row>
    <row r="537">
      <c r="A537" s="5"/>
      <c r="B537" s="5"/>
      <c r="D537" s="5"/>
    </row>
    <row r="538">
      <c r="A538" s="5"/>
      <c r="B538" s="5"/>
      <c r="D538" s="5"/>
    </row>
    <row r="539">
      <c r="A539" s="5"/>
      <c r="B539" s="5"/>
      <c r="D539" s="5"/>
    </row>
    <row r="540">
      <c r="A540" s="5"/>
      <c r="B540" s="5"/>
      <c r="D540" s="5"/>
    </row>
    <row r="541">
      <c r="A541" s="5"/>
      <c r="B541" s="5"/>
      <c r="D541" s="5"/>
    </row>
    <row r="542">
      <c r="A542" s="5"/>
      <c r="B542" s="5"/>
      <c r="D542" s="5"/>
    </row>
    <row r="543">
      <c r="A543" s="5"/>
      <c r="B543" s="5"/>
      <c r="D543" s="5"/>
    </row>
    <row r="544">
      <c r="A544" s="5"/>
      <c r="B544" s="5"/>
      <c r="D544" s="5"/>
    </row>
    <row r="545">
      <c r="A545" s="5"/>
      <c r="B545" s="5"/>
      <c r="D545" s="5"/>
    </row>
    <row r="546">
      <c r="A546" s="5"/>
      <c r="B546" s="5"/>
      <c r="D546" s="5"/>
    </row>
    <row r="547">
      <c r="A547" s="5"/>
      <c r="B547" s="5"/>
      <c r="D547" s="5"/>
    </row>
    <row r="548">
      <c r="A548" s="5"/>
      <c r="B548" s="5"/>
      <c r="D548" s="5"/>
    </row>
    <row r="549">
      <c r="A549" s="5"/>
      <c r="B549" s="5"/>
      <c r="D549" s="5"/>
    </row>
    <row r="550">
      <c r="A550" s="5"/>
      <c r="B550" s="5"/>
      <c r="D550" s="5"/>
    </row>
    <row r="551">
      <c r="A551" s="5"/>
      <c r="B551" s="5"/>
      <c r="D551" s="5"/>
    </row>
    <row r="552">
      <c r="A552" s="5"/>
      <c r="B552" s="5"/>
      <c r="D552" s="5"/>
    </row>
    <row r="553">
      <c r="A553" s="5"/>
      <c r="B553" s="5"/>
      <c r="D553" s="5"/>
    </row>
    <row r="554">
      <c r="A554" s="5"/>
      <c r="B554" s="5"/>
      <c r="D554" s="5"/>
    </row>
    <row r="555">
      <c r="A555" s="5"/>
      <c r="B555" s="5"/>
      <c r="D555" s="5"/>
    </row>
    <row r="556">
      <c r="A556" s="5"/>
      <c r="B556" s="5"/>
      <c r="D556" s="5"/>
    </row>
    <row r="557">
      <c r="A557" s="5"/>
      <c r="B557" s="5"/>
      <c r="D557" s="5"/>
    </row>
    <row r="558">
      <c r="A558" s="5"/>
      <c r="B558" s="5"/>
      <c r="D558" s="5"/>
    </row>
    <row r="559">
      <c r="A559" s="5"/>
      <c r="B559" s="5"/>
      <c r="D559" s="5"/>
    </row>
    <row r="560">
      <c r="A560" s="5"/>
      <c r="B560" s="5"/>
      <c r="D560" s="5"/>
    </row>
    <row r="561">
      <c r="A561" s="5"/>
      <c r="B561" s="5"/>
      <c r="D561" s="5"/>
    </row>
    <row r="562">
      <c r="A562" s="5"/>
      <c r="B562" s="5"/>
      <c r="D562" s="5"/>
    </row>
    <row r="563">
      <c r="A563" s="5"/>
      <c r="B563" s="5"/>
      <c r="D563" s="5"/>
    </row>
    <row r="564">
      <c r="A564" s="5"/>
      <c r="B564" s="5"/>
      <c r="D564" s="5"/>
    </row>
    <row r="565">
      <c r="A565" s="5"/>
      <c r="B565" s="5"/>
      <c r="D565" s="5"/>
    </row>
    <row r="566">
      <c r="A566" s="5"/>
      <c r="B566" s="5"/>
      <c r="D566" s="5"/>
    </row>
    <row r="567">
      <c r="A567" s="5"/>
      <c r="B567" s="5"/>
      <c r="D567" s="5"/>
    </row>
    <row r="568">
      <c r="A568" s="5"/>
      <c r="B568" s="5"/>
      <c r="D568" s="5"/>
    </row>
    <row r="569">
      <c r="A569" s="5"/>
      <c r="B569" s="5"/>
      <c r="D569" s="5"/>
    </row>
    <row r="570">
      <c r="A570" s="5"/>
      <c r="B570" s="5"/>
      <c r="D570" s="5"/>
    </row>
    <row r="571">
      <c r="A571" s="5"/>
      <c r="B571" s="5"/>
      <c r="D571" s="5"/>
    </row>
    <row r="572">
      <c r="A572" s="5"/>
      <c r="B572" s="5"/>
      <c r="D572" s="5"/>
    </row>
    <row r="573">
      <c r="A573" s="5"/>
      <c r="B573" s="5"/>
      <c r="D573" s="5"/>
    </row>
    <row r="574">
      <c r="A574" s="5"/>
      <c r="B574" s="5"/>
      <c r="D574" s="5"/>
    </row>
    <row r="575">
      <c r="A575" s="5"/>
      <c r="B575" s="5"/>
      <c r="D575" s="5"/>
    </row>
    <row r="576">
      <c r="A576" s="5"/>
      <c r="B576" s="5"/>
      <c r="D576" s="5"/>
    </row>
    <row r="577">
      <c r="A577" s="5"/>
      <c r="B577" s="5"/>
      <c r="D577" s="5"/>
    </row>
    <row r="578">
      <c r="A578" s="5"/>
      <c r="B578" s="5"/>
      <c r="D578" s="5"/>
    </row>
    <row r="579">
      <c r="A579" s="5"/>
      <c r="B579" s="5"/>
      <c r="D579" s="5"/>
    </row>
    <row r="580">
      <c r="A580" s="5"/>
      <c r="B580" s="5"/>
      <c r="D580" s="5"/>
    </row>
    <row r="581">
      <c r="A581" s="5"/>
      <c r="B581" s="5"/>
      <c r="D581" s="5"/>
    </row>
    <row r="582">
      <c r="A582" s="5"/>
      <c r="B582" s="5"/>
      <c r="D582" s="5"/>
    </row>
    <row r="583">
      <c r="A583" s="5"/>
      <c r="B583" s="5"/>
      <c r="D583" s="5"/>
    </row>
    <row r="584">
      <c r="A584" s="5"/>
      <c r="B584" s="5"/>
      <c r="D584" s="5"/>
    </row>
    <row r="585">
      <c r="A585" s="5"/>
      <c r="B585" s="5"/>
      <c r="D585" s="5"/>
    </row>
    <row r="586">
      <c r="A586" s="5"/>
      <c r="B586" s="5"/>
      <c r="D586" s="5"/>
    </row>
    <row r="587">
      <c r="A587" s="5"/>
      <c r="B587" s="5"/>
      <c r="D587" s="5"/>
    </row>
    <row r="588">
      <c r="A588" s="5"/>
      <c r="B588" s="5"/>
      <c r="D588" s="5"/>
    </row>
    <row r="589">
      <c r="A589" s="5"/>
      <c r="B589" s="5"/>
      <c r="D589" s="5"/>
    </row>
    <row r="590">
      <c r="A590" s="5"/>
      <c r="B590" s="5"/>
      <c r="D590" s="5"/>
    </row>
    <row r="591">
      <c r="A591" s="5"/>
      <c r="B591" s="5"/>
      <c r="D591" s="5"/>
    </row>
    <row r="592">
      <c r="A592" s="5"/>
      <c r="B592" s="5"/>
      <c r="D592" s="5"/>
    </row>
    <row r="593">
      <c r="A593" s="5"/>
      <c r="B593" s="5"/>
      <c r="D593" s="5"/>
    </row>
    <row r="594">
      <c r="A594" s="5"/>
      <c r="B594" s="5"/>
      <c r="D594" s="5"/>
    </row>
    <row r="595">
      <c r="A595" s="5"/>
      <c r="B595" s="5"/>
      <c r="D595" s="5"/>
    </row>
    <row r="596">
      <c r="A596" s="5"/>
      <c r="B596" s="5"/>
      <c r="D596" s="5"/>
    </row>
    <row r="597">
      <c r="A597" s="5"/>
      <c r="B597" s="5"/>
      <c r="D597" s="5"/>
    </row>
    <row r="598">
      <c r="A598" s="5"/>
      <c r="B598" s="5"/>
      <c r="D598" s="5"/>
    </row>
    <row r="599">
      <c r="A599" s="5"/>
      <c r="B599" s="5"/>
      <c r="D599" s="5"/>
    </row>
    <row r="600">
      <c r="A600" s="5"/>
      <c r="B600" s="5"/>
      <c r="D600" s="5"/>
    </row>
    <row r="601">
      <c r="A601" s="5"/>
      <c r="B601" s="5"/>
      <c r="D601" s="5"/>
    </row>
    <row r="602">
      <c r="A602" s="5"/>
      <c r="B602" s="5"/>
      <c r="D602" s="5"/>
    </row>
    <row r="603">
      <c r="A603" s="5"/>
      <c r="B603" s="5"/>
      <c r="D603" s="5"/>
    </row>
    <row r="604">
      <c r="A604" s="5"/>
      <c r="B604" s="5"/>
      <c r="D604" s="5"/>
    </row>
    <row r="605">
      <c r="A605" s="5"/>
      <c r="B605" s="5"/>
      <c r="D605" s="5"/>
    </row>
    <row r="606">
      <c r="A606" s="5"/>
      <c r="B606" s="5"/>
      <c r="D606" s="5"/>
    </row>
    <row r="607">
      <c r="A607" s="5"/>
      <c r="B607" s="5"/>
      <c r="D607" s="5"/>
    </row>
    <row r="608">
      <c r="A608" s="5"/>
      <c r="B608" s="5"/>
      <c r="D608" s="5"/>
    </row>
    <row r="609">
      <c r="A609" s="5"/>
      <c r="B609" s="5"/>
      <c r="D609" s="5"/>
    </row>
    <row r="610">
      <c r="A610" s="5"/>
      <c r="B610" s="5"/>
      <c r="D610" s="5"/>
    </row>
    <row r="611">
      <c r="A611" s="5"/>
      <c r="B611" s="5"/>
      <c r="D611" s="5"/>
    </row>
    <row r="612">
      <c r="A612" s="5"/>
      <c r="B612" s="5"/>
      <c r="D612" s="5"/>
    </row>
    <row r="613">
      <c r="A613" s="5"/>
      <c r="B613" s="5"/>
      <c r="D613" s="5"/>
    </row>
    <row r="614">
      <c r="A614" s="5"/>
      <c r="B614" s="5"/>
      <c r="D614" s="5"/>
    </row>
    <row r="615">
      <c r="A615" s="5"/>
      <c r="B615" s="5"/>
      <c r="D615" s="5"/>
    </row>
    <row r="616">
      <c r="A616" s="5"/>
      <c r="B616" s="5"/>
      <c r="D616" s="5"/>
    </row>
    <row r="617">
      <c r="A617" s="5"/>
      <c r="B617" s="5"/>
      <c r="D617" s="5"/>
    </row>
    <row r="618">
      <c r="A618" s="5"/>
      <c r="B618" s="5"/>
      <c r="D618" s="5"/>
    </row>
    <row r="619">
      <c r="A619" s="5"/>
      <c r="B619" s="5"/>
      <c r="D619" s="5"/>
    </row>
    <row r="620">
      <c r="A620" s="5"/>
      <c r="B620" s="5"/>
      <c r="D620" s="5"/>
    </row>
    <row r="621">
      <c r="A621" s="5"/>
      <c r="B621" s="5"/>
      <c r="D621" s="5"/>
    </row>
    <row r="622">
      <c r="A622" s="5"/>
      <c r="B622" s="5"/>
      <c r="D622" s="5"/>
    </row>
    <row r="623">
      <c r="A623" s="5"/>
      <c r="B623" s="5"/>
      <c r="D623" s="5"/>
    </row>
    <row r="624">
      <c r="A624" s="5"/>
      <c r="B624" s="5"/>
      <c r="D624" s="5"/>
    </row>
    <row r="625">
      <c r="A625" s="5"/>
      <c r="B625" s="5"/>
      <c r="D625" s="5"/>
    </row>
    <row r="626">
      <c r="A626" s="5"/>
      <c r="B626" s="5"/>
      <c r="D626" s="5"/>
    </row>
    <row r="627">
      <c r="A627" s="5"/>
      <c r="B627" s="5"/>
      <c r="D627" s="5"/>
    </row>
    <row r="628">
      <c r="A628" s="5"/>
      <c r="B628" s="5"/>
      <c r="D628" s="5"/>
    </row>
    <row r="629">
      <c r="A629" s="5"/>
      <c r="B629" s="5"/>
      <c r="D629" s="5"/>
    </row>
    <row r="630">
      <c r="A630" s="5"/>
      <c r="B630" s="5"/>
      <c r="D630" s="5"/>
    </row>
    <row r="631">
      <c r="A631" s="5"/>
      <c r="B631" s="5"/>
      <c r="D631" s="5"/>
    </row>
    <row r="632">
      <c r="A632" s="5"/>
      <c r="B632" s="5"/>
      <c r="D632" s="5"/>
    </row>
    <row r="633">
      <c r="A633" s="5"/>
      <c r="B633" s="5"/>
      <c r="D633" s="5"/>
    </row>
    <row r="634">
      <c r="A634" s="5"/>
      <c r="B634" s="5"/>
      <c r="D634" s="5"/>
    </row>
    <row r="635">
      <c r="A635" s="5"/>
      <c r="B635" s="5"/>
      <c r="D635" s="5"/>
    </row>
    <row r="636">
      <c r="A636" s="5"/>
      <c r="B636" s="5"/>
      <c r="D636" s="5"/>
    </row>
    <row r="637">
      <c r="A637" s="5"/>
      <c r="B637" s="5"/>
      <c r="D637" s="5"/>
    </row>
    <row r="638">
      <c r="A638" s="5"/>
      <c r="B638" s="5"/>
      <c r="D638" s="5"/>
    </row>
    <row r="639">
      <c r="A639" s="5"/>
      <c r="B639" s="5"/>
      <c r="D639" s="5"/>
    </row>
    <row r="640">
      <c r="A640" s="5"/>
      <c r="B640" s="5"/>
      <c r="D640" s="5"/>
    </row>
    <row r="641">
      <c r="A641" s="5"/>
      <c r="B641" s="5"/>
      <c r="D641" s="5"/>
    </row>
    <row r="642">
      <c r="A642" s="5"/>
      <c r="B642" s="5"/>
      <c r="D642" s="5"/>
    </row>
    <row r="643">
      <c r="A643" s="5"/>
      <c r="B643" s="5"/>
      <c r="D643" s="5"/>
    </row>
    <row r="644">
      <c r="A644" s="5"/>
      <c r="B644" s="5"/>
      <c r="D644" s="5"/>
    </row>
    <row r="645">
      <c r="A645" s="5"/>
      <c r="B645" s="5"/>
      <c r="D645" s="5"/>
    </row>
    <row r="646">
      <c r="A646" s="5"/>
      <c r="B646" s="5"/>
      <c r="D646" s="5"/>
    </row>
    <row r="647">
      <c r="A647" s="5"/>
      <c r="B647" s="5"/>
      <c r="D647" s="5"/>
    </row>
    <row r="648">
      <c r="A648" s="5"/>
      <c r="B648" s="5"/>
      <c r="D648" s="5"/>
    </row>
    <row r="649">
      <c r="A649" s="5"/>
      <c r="B649" s="5"/>
      <c r="D649" s="5"/>
    </row>
    <row r="650">
      <c r="A650" s="5"/>
      <c r="B650" s="5"/>
      <c r="D650" s="5"/>
    </row>
    <row r="651">
      <c r="A651" s="5"/>
      <c r="B651" s="5"/>
      <c r="D651" s="5"/>
    </row>
    <row r="652">
      <c r="A652" s="5"/>
      <c r="B652" s="5"/>
      <c r="D652" s="5"/>
    </row>
    <row r="653">
      <c r="A653" s="5"/>
      <c r="B653" s="5"/>
      <c r="D653" s="5"/>
    </row>
    <row r="654">
      <c r="A654" s="5"/>
      <c r="B654" s="5"/>
      <c r="D654" s="5"/>
    </row>
    <row r="655">
      <c r="A655" s="5"/>
      <c r="B655" s="5"/>
      <c r="D655" s="5"/>
    </row>
    <row r="656">
      <c r="A656" s="5"/>
      <c r="B656" s="5"/>
      <c r="D656" s="5"/>
    </row>
    <row r="657">
      <c r="A657" s="5"/>
      <c r="B657" s="5"/>
      <c r="D657" s="5"/>
    </row>
    <row r="658">
      <c r="A658" s="5"/>
      <c r="B658" s="5"/>
      <c r="D658" s="5"/>
    </row>
    <row r="659">
      <c r="A659" s="5"/>
      <c r="B659" s="5"/>
      <c r="D659" s="5"/>
    </row>
    <row r="660">
      <c r="A660" s="5"/>
      <c r="B660" s="5"/>
      <c r="D660" s="5"/>
    </row>
    <row r="661">
      <c r="A661" s="5"/>
      <c r="B661" s="5"/>
      <c r="D661" s="5"/>
    </row>
    <row r="662">
      <c r="A662" s="5"/>
      <c r="B662" s="5"/>
      <c r="D662" s="5"/>
    </row>
    <row r="663">
      <c r="A663" s="5"/>
      <c r="B663" s="5"/>
      <c r="D663" s="5"/>
    </row>
    <row r="664">
      <c r="A664" s="5"/>
      <c r="B664" s="5"/>
      <c r="D664" s="5"/>
    </row>
    <row r="665">
      <c r="A665" s="5"/>
      <c r="B665" s="5"/>
      <c r="D665" s="5"/>
    </row>
    <row r="666">
      <c r="A666" s="5"/>
      <c r="B666" s="5"/>
      <c r="D666" s="5"/>
    </row>
    <row r="667">
      <c r="A667" s="5"/>
      <c r="B667" s="5"/>
      <c r="D667" s="5"/>
    </row>
    <row r="668">
      <c r="A668" s="5"/>
      <c r="B668" s="5"/>
      <c r="D668" s="5"/>
    </row>
    <row r="669">
      <c r="A669" s="5"/>
      <c r="B669" s="5"/>
      <c r="D669" s="5"/>
    </row>
    <row r="670">
      <c r="A670" s="5"/>
      <c r="B670" s="5"/>
      <c r="D670" s="5"/>
    </row>
    <row r="671">
      <c r="A671" s="5"/>
      <c r="B671" s="5"/>
      <c r="D671" s="5"/>
    </row>
    <row r="672">
      <c r="A672" s="5"/>
      <c r="B672" s="5"/>
      <c r="D672" s="5"/>
    </row>
    <row r="673">
      <c r="A673" s="5"/>
      <c r="B673" s="5"/>
      <c r="D673" s="5"/>
    </row>
    <row r="674">
      <c r="A674" s="5"/>
      <c r="B674" s="5"/>
      <c r="D674" s="5"/>
    </row>
    <row r="675">
      <c r="A675" s="5"/>
      <c r="B675" s="5"/>
      <c r="D675" s="5"/>
    </row>
    <row r="676">
      <c r="A676" s="5"/>
      <c r="B676" s="5"/>
      <c r="D676" s="5"/>
    </row>
    <row r="677">
      <c r="A677" s="5"/>
      <c r="B677" s="5"/>
      <c r="D677" s="5"/>
    </row>
    <row r="678">
      <c r="A678" s="5"/>
      <c r="B678" s="5"/>
      <c r="D678" s="5"/>
    </row>
    <row r="679">
      <c r="A679" s="5"/>
      <c r="B679" s="5"/>
      <c r="D679" s="5"/>
    </row>
    <row r="680">
      <c r="A680" s="5"/>
      <c r="B680" s="5"/>
      <c r="D680" s="5"/>
    </row>
    <row r="681">
      <c r="A681" s="5"/>
      <c r="B681" s="5"/>
      <c r="D681" s="5"/>
    </row>
    <row r="682">
      <c r="A682" s="5"/>
      <c r="B682" s="5"/>
      <c r="D682" s="5"/>
    </row>
    <row r="683">
      <c r="A683" s="5"/>
      <c r="B683" s="5"/>
      <c r="D683" s="5"/>
    </row>
    <row r="684">
      <c r="A684" s="5"/>
      <c r="B684" s="5"/>
      <c r="D684" s="5"/>
    </row>
    <row r="685">
      <c r="A685" s="5"/>
      <c r="B685" s="5"/>
      <c r="D685" s="5"/>
    </row>
    <row r="686">
      <c r="A686" s="5"/>
      <c r="B686" s="5"/>
      <c r="D686" s="5"/>
    </row>
    <row r="687">
      <c r="A687" s="5"/>
      <c r="B687" s="5"/>
      <c r="D687" s="5"/>
    </row>
    <row r="688">
      <c r="A688" s="5"/>
      <c r="B688" s="5"/>
      <c r="D688" s="5"/>
    </row>
    <row r="689">
      <c r="A689" s="5"/>
      <c r="B689" s="5"/>
      <c r="D689" s="5"/>
    </row>
    <row r="690">
      <c r="A690" s="5"/>
      <c r="B690" s="5"/>
      <c r="D690" s="5"/>
    </row>
    <row r="691">
      <c r="A691" s="5"/>
      <c r="B691" s="5"/>
      <c r="D691" s="5"/>
    </row>
    <row r="692">
      <c r="A692" s="5"/>
      <c r="B692" s="5"/>
      <c r="D692" s="5"/>
    </row>
    <row r="693">
      <c r="A693" s="5"/>
      <c r="B693" s="5"/>
      <c r="D693" s="5"/>
    </row>
    <row r="694">
      <c r="A694" s="5"/>
      <c r="B694" s="5"/>
      <c r="D694" s="5"/>
    </row>
    <row r="695">
      <c r="A695" s="5"/>
      <c r="B695" s="5"/>
      <c r="D695" s="5"/>
    </row>
    <row r="696">
      <c r="A696" s="5"/>
      <c r="B696" s="5"/>
      <c r="D696" s="5"/>
    </row>
    <row r="697">
      <c r="A697" s="5"/>
      <c r="B697" s="5"/>
      <c r="D697" s="5"/>
    </row>
    <row r="698">
      <c r="A698" s="5"/>
      <c r="B698" s="5"/>
      <c r="D698" s="5"/>
    </row>
    <row r="699">
      <c r="A699" s="5"/>
      <c r="B699" s="5"/>
      <c r="D699" s="5"/>
    </row>
    <row r="700">
      <c r="A700" s="5"/>
      <c r="B700" s="5"/>
      <c r="D700" s="5"/>
    </row>
    <row r="701">
      <c r="A701" s="5"/>
      <c r="B701" s="5"/>
      <c r="D701" s="5"/>
    </row>
    <row r="702">
      <c r="A702" s="5"/>
      <c r="B702" s="5"/>
      <c r="D702" s="5"/>
    </row>
    <row r="703">
      <c r="A703" s="5"/>
      <c r="B703" s="5"/>
      <c r="D703" s="5"/>
    </row>
    <row r="704">
      <c r="A704" s="5"/>
      <c r="B704" s="5"/>
      <c r="D704" s="5"/>
    </row>
    <row r="705">
      <c r="A705" s="5"/>
      <c r="B705" s="5"/>
      <c r="D705" s="5"/>
    </row>
    <row r="706">
      <c r="A706" s="5"/>
      <c r="B706" s="5"/>
      <c r="D706" s="5"/>
    </row>
    <row r="707">
      <c r="A707" s="5"/>
      <c r="B707" s="5"/>
      <c r="D707" s="5"/>
    </row>
    <row r="708">
      <c r="A708" s="5"/>
      <c r="B708" s="5"/>
      <c r="D708" s="5"/>
    </row>
    <row r="709">
      <c r="A709" s="5"/>
      <c r="B709" s="5"/>
      <c r="D709" s="5"/>
    </row>
    <row r="710">
      <c r="A710" s="5"/>
      <c r="B710" s="5"/>
      <c r="D710" s="5"/>
    </row>
    <row r="711">
      <c r="A711" s="5"/>
      <c r="B711" s="5"/>
      <c r="D711" s="5"/>
    </row>
    <row r="712">
      <c r="A712" s="5"/>
      <c r="B712" s="5"/>
      <c r="D712" s="5"/>
    </row>
    <row r="713">
      <c r="A713" s="5"/>
      <c r="B713" s="5"/>
      <c r="D713" s="5"/>
    </row>
    <row r="714">
      <c r="A714" s="5"/>
      <c r="B714" s="5"/>
      <c r="D714" s="5"/>
    </row>
    <row r="715">
      <c r="A715" s="5"/>
      <c r="B715" s="5"/>
      <c r="D715" s="5"/>
    </row>
    <row r="716">
      <c r="A716" s="5"/>
      <c r="B716" s="5"/>
      <c r="D716" s="5"/>
    </row>
    <row r="717">
      <c r="A717" s="5"/>
      <c r="B717" s="5"/>
      <c r="D717" s="5"/>
    </row>
    <row r="718">
      <c r="A718" s="5"/>
      <c r="B718" s="5"/>
      <c r="D718" s="5"/>
    </row>
    <row r="719">
      <c r="A719" s="5"/>
      <c r="B719" s="5"/>
      <c r="D719" s="5"/>
    </row>
    <row r="720">
      <c r="A720" s="5"/>
      <c r="B720" s="5"/>
      <c r="D720" s="5"/>
    </row>
    <row r="721">
      <c r="A721" s="5"/>
      <c r="B721" s="5"/>
      <c r="D721" s="5"/>
    </row>
    <row r="722">
      <c r="A722" s="5"/>
      <c r="B722" s="5"/>
      <c r="D722" s="5"/>
    </row>
    <row r="723">
      <c r="A723" s="5"/>
      <c r="B723" s="5"/>
      <c r="D723" s="5"/>
    </row>
    <row r="724">
      <c r="A724" s="5"/>
      <c r="B724" s="5"/>
      <c r="D724" s="5"/>
    </row>
    <row r="725">
      <c r="A725" s="5"/>
      <c r="B725" s="5"/>
      <c r="D725" s="5"/>
    </row>
    <row r="726">
      <c r="A726" s="5"/>
      <c r="B726" s="5"/>
      <c r="D726" s="5"/>
    </row>
    <row r="727">
      <c r="A727" s="5"/>
      <c r="B727" s="5"/>
      <c r="D727" s="5"/>
    </row>
    <row r="728">
      <c r="A728" s="5"/>
      <c r="B728" s="5"/>
      <c r="D728" s="5"/>
    </row>
    <row r="729">
      <c r="A729" s="5"/>
      <c r="B729" s="5"/>
      <c r="D729" s="5"/>
    </row>
    <row r="730">
      <c r="A730" s="5"/>
      <c r="B730" s="5"/>
      <c r="D730" s="5"/>
    </row>
    <row r="731">
      <c r="A731" s="5"/>
      <c r="B731" s="5"/>
      <c r="D731" s="5"/>
    </row>
    <row r="732">
      <c r="A732" s="5"/>
      <c r="B732" s="5"/>
      <c r="D732" s="5"/>
    </row>
    <row r="733">
      <c r="A733" s="5"/>
      <c r="B733" s="5"/>
      <c r="D733" s="5"/>
    </row>
    <row r="734">
      <c r="A734" s="5"/>
      <c r="B734" s="5"/>
      <c r="D734" s="5"/>
    </row>
    <row r="735">
      <c r="A735" s="5"/>
      <c r="B735" s="5"/>
      <c r="D735" s="5"/>
    </row>
    <row r="736">
      <c r="A736" s="5"/>
      <c r="B736" s="5"/>
      <c r="D736" s="5"/>
    </row>
    <row r="737">
      <c r="A737" s="5"/>
      <c r="B737" s="5"/>
      <c r="D737" s="5"/>
    </row>
    <row r="738">
      <c r="A738" s="5"/>
      <c r="B738" s="5"/>
      <c r="D738" s="5"/>
    </row>
    <row r="739">
      <c r="A739" s="5"/>
      <c r="B739" s="5"/>
      <c r="D739" s="5"/>
    </row>
    <row r="740">
      <c r="A740" s="5"/>
      <c r="B740" s="5"/>
      <c r="D740" s="5"/>
    </row>
    <row r="741">
      <c r="A741" s="5"/>
      <c r="B741" s="5"/>
      <c r="D741" s="5"/>
    </row>
    <row r="742">
      <c r="A742" s="5"/>
      <c r="B742" s="5"/>
      <c r="D742" s="5"/>
    </row>
    <row r="743">
      <c r="A743" s="5"/>
      <c r="B743" s="5"/>
      <c r="D743" s="5"/>
    </row>
    <row r="744">
      <c r="A744" s="5"/>
      <c r="B744" s="5"/>
      <c r="D744" s="5"/>
    </row>
    <row r="745">
      <c r="A745" s="5"/>
      <c r="B745" s="5"/>
      <c r="D745" s="5"/>
    </row>
    <row r="746">
      <c r="A746" s="5"/>
      <c r="B746" s="5"/>
      <c r="D746" s="5"/>
    </row>
    <row r="747">
      <c r="A747" s="5"/>
      <c r="B747" s="5"/>
      <c r="D747" s="5"/>
    </row>
    <row r="748">
      <c r="A748" s="5"/>
      <c r="B748" s="5"/>
      <c r="D748" s="5"/>
    </row>
    <row r="749">
      <c r="A749" s="5"/>
      <c r="B749" s="5"/>
      <c r="D749" s="5"/>
    </row>
    <row r="750">
      <c r="A750" s="5"/>
      <c r="B750" s="5"/>
      <c r="D750" s="5"/>
    </row>
    <row r="751">
      <c r="A751" s="5"/>
      <c r="B751" s="5"/>
      <c r="D751" s="5"/>
    </row>
    <row r="752">
      <c r="A752" s="5"/>
      <c r="B752" s="5"/>
      <c r="D752" s="5"/>
    </row>
    <row r="753">
      <c r="A753" s="5"/>
      <c r="B753" s="5"/>
      <c r="D753" s="5"/>
    </row>
    <row r="754">
      <c r="A754" s="5"/>
      <c r="B754" s="5"/>
      <c r="D754" s="5"/>
    </row>
    <row r="755">
      <c r="A755" s="5"/>
      <c r="B755" s="5"/>
      <c r="D755" s="5"/>
    </row>
    <row r="756">
      <c r="A756" s="5"/>
      <c r="B756" s="5"/>
      <c r="D756" s="5"/>
    </row>
    <row r="757">
      <c r="A757" s="5"/>
      <c r="B757" s="5"/>
      <c r="D757" s="5"/>
    </row>
    <row r="758">
      <c r="A758" s="5"/>
      <c r="B758" s="5"/>
      <c r="D758" s="5"/>
    </row>
    <row r="759">
      <c r="A759" s="5"/>
      <c r="B759" s="5"/>
      <c r="D759" s="5"/>
    </row>
    <row r="760">
      <c r="A760" s="5"/>
      <c r="B760" s="5"/>
      <c r="D760" s="5"/>
    </row>
    <row r="761">
      <c r="A761" s="5"/>
      <c r="B761" s="5"/>
      <c r="D761" s="5"/>
    </row>
    <row r="762">
      <c r="A762" s="5"/>
      <c r="B762" s="5"/>
      <c r="D762" s="5"/>
    </row>
    <row r="763">
      <c r="A763" s="5"/>
      <c r="B763" s="5"/>
      <c r="D763" s="5"/>
    </row>
    <row r="764">
      <c r="A764" s="5"/>
      <c r="B764" s="5"/>
      <c r="D764" s="5"/>
    </row>
    <row r="765">
      <c r="A765" s="5"/>
      <c r="B765" s="5"/>
      <c r="D765" s="5"/>
    </row>
    <row r="766">
      <c r="A766" s="5"/>
      <c r="B766" s="5"/>
      <c r="D766" s="5"/>
    </row>
    <row r="767">
      <c r="A767" s="5"/>
      <c r="B767" s="5"/>
      <c r="D767" s="5"/>
    </row>
    <row r="768">
      <c r="A768" s="5"/>
      <c r="B768" s="5"/>
      <c r="D768" s="5"/>
    </row>
    <row r="769">
      <c r="A769" s="5"/>
      <c r="B769" s="5"/>
      <c r="D769" s="5"/>
    </row>
    <row r="770">
      <c r="A770" s="5"/>
      <c r="B770" s="5"/>
      <c r="D770" s="5"/>
    </row>
    <row r="771">
      <c r="A771" s="5"/>
      <c r="B771" s="5"/>
      <c r="D771" s="5"/>
    </row>
    <row r="772">
      <c r="A772" s="5"/>
      <c r="B772" s="5"/>
      <c r="D772" s="5"/>
    </row>
    <row r="773">
      <c r="A773" s="5"/>
      <c r="B773" s="5"/>
      <c r="D773" s="5"/>
    </row>
    <row r="774">
      <c r="A774" s="5"/>
      <c r="B774" s="5"/>
      <c r="D774" s="5"/>
    </row>
    <row r="775">
      <c r="A775" s="5"/>
      <c r="B775" s="5"/>
      <c r="D775" s="5"/>
    </row>
    <row r="776">
      <c r="A776" s="5"/>
      <c r="B776" s="5"/>
      <c r="D776" s="5"/>
    </row>
    <row r="777">
      <c r="A777" s="5"/>
      <c r="B777" s="5"/>
      <c r="D777" s="5"/>
    </row>
    <row r="778">
      <c r="A778" s="5"/>
      <c r="B778" s="5"/>
      <c r="D778" s="5"/>
    </row>
    <row r="779">
      <c r="A779" s="5"/>
      <c r="B779" s="5"/>
      <c r="D779" s="5"/>
    </row>
    <row r="780">
      <c r="A780" s="5"/>
      <c r="B780" s="5"/>
      <c r="D780" s="5"/>
    </row>
    <row r="781">
      <c r="A781" s="5"/>
      <c r="B781" s="5"/>
      <c r="D781" s="5"/>
    </row>
    <row r="782">
      <c r="A782" s="5"/>
      <c r="B782" s="5"/>
      <c r="D782" s="5"/>
    </row>
    <row r="783">
      <c r="A783" s="5"/>
      <c r="B783" s="5"/>
      <c r="D783" s="5"/>
    </row>
    <row r="784">
      <c r="A784" s="5"/>
      <c r="B784" s="5"/>
      <c r="D784" s="5"/>
    </row>
    <row r="785">
      <c r="A785" s="5"/>
      <c r="B785" s="5"/>
      <c r="D785" s="5"/>
    </row>
    <row r="786">
      <c r="A786" s="5"/>
      <c r="B786" s="5"/>
      <c r="D786" s="5"/>
    </row>
    <row r="787">
      <c r="A787" s="5"/>
      <c r="B787" s="5"/>
      <c r="D787" s="5"/>
    </row>
    <row r="788">
      <c r="A788" s="5"/>
      <c r="B788" s="5"/>
      <c r="D788" s="5"/>
    </row>
    <row r="789">
      <c r="A789" s="5"/>
      <c r="B789" s="5"/>
      <c r="D789" s="5"/>
    </row>
    <row r="790">
      <c r="A790" s="5"/>
      <c r="B790" s="5"/>
      <c r="D790" s="5"/>
    </row>
    <row r="791">
      <c r="A791" s="5"/>
      <c r="B791" s="5"/>
      <c r="D791" s="5"/>
    </row>
    <row r="792">
      <c r="A792" s="5"/>
      <c r="B792" s="5"/>
      <c r="D792" s="5"/>
    </row>
    <row r="793">
      <c r="A793" s="5"/>
      <c r="B793" s="5"/>
      <c r="D793" s="5"/>
    </row>
    <row r="794">
      <c r="A794" s="5"/>
      <c r="B794" s="5"/>
      <c r="D794" s="5"/>
    </row>
    <row r="795">
      <c r="A795" s="5"/>
      <c r="B795" s="5"/>
      <c r="D795" s="5"/>
    </row>
    <row r="796">
      <c r="A796" s="5"/>
      <c r="B796" s="5"/>
      <c r="D796" s="5"/>
    </row>
    <row r="797">
      <c r="A797" s="5"/>
      <c r="B797" s="5"/>
      <c r="D797" s="5"/>
    </row>
    <row r="798">
      <c r="A798" s="5"/>
      <c r="B798" s="5"/>
      <c r="D798" s="5"/>
    </row>
    <row r="799">
      <c r="A799" s="5"/>
      <c r="B799" s="5"/>
      <c r="D799" s="5"/>
    </row>
    <row r="800">
      <c r="A800" s="5"/>
      <c r="B800" s="5"/>
      <c r="D800" s="5"/>
    </row>
    <row r="801">
      <c r="A801" s="5"/>
      <c r="B801" s="5"/>
      <c r="D801" s="5"/>
    </row>
    <row r="802">
      <c r="A802" s="5"/>
      <c r="B802" s="5"/>
      <c r="D802" s="5"/>
    </row>
    <row r="803">
      <c r="A803" s="5"/>
      <c r="B803" s="5"/>
      <c r="D803" s="5"/>
    </row>
    <row r="804">
      <c r="A804" s="5"/>
      <c r="B804" s="5"/>
      <c r="D804" s="5"/>
    </row>
    <row r="805">
      <c r="A805" s="5"/>
      <c r="B805" s="5"/>
      <c r="D805" s="5"/>
    </row>
    <row r="806">
      <c r="A806" s="5"/>
      <c r="B806" s="5"/>
      <c r="D806" s="5"/>
    </row>
    <row r="807">
      <c r="A807" s="5"/>
      <c r="B807" s="5"/>
      <c r="D807" s="5"/>
    </row>
    <row r="808">
      <c r="A808" s="5"/>
      <c r="B808" s="5"/>
      <c r="D808" s="5"/>
    </row>
    <row r="809">
      <c r="A809" s="5"/>
      <c r="B809" s="5"/>
      <c r="D809" s="5"/>
    </row>
    <row r="810">
      <c r="A810" s="5"/>
      <c r="B810" s="5"/>
      <c r="D810" s="5"/>
    </row>
    <row r="811">
      <c r="A811" s="5"/>
      <c r="B811" s="5"/>
      <c r="D811" s="5"/>
    </row>
    <row r="812">
      <c r="A812" s="5"/>
      <c r="B812" s="5"/>
      <c r="D812" s="5"/>
    </row>
    <row r="813">
      <c r="A813" s="5"/>
      <c r="B813" s="5"/>
      <c r="D813" s="5"/>
    </row>
    <row r="814">
      <c r="A814" s="5"/>
      <c r="B814" s="5"/>
      <c r="D814" s="5"/>
    </row>
    <row r="815">
      <c r="A815" s="5"/>
      <c r="B815" s="5"/>
      <c r="D815" s="5"/>
    </row>
    <row r="816">
      <c r="A816" s="5"/>
      <c r="B816" s="5"/>
      <c r="D816" s="5"/>
    </row>
    <row r="817">
      <c r="A817" s="5"/>
      <c r="B817" s="5"/>
      <c r="D817" s="5"/>
    </row>
    <row r="818">
      <c r="A818" s="5"/>
      <c r="B818" s="5"/>
      <c r="D818" s="5"/>
    </row>
    <row r="819">
      <c r="A819" s="5"/>
      <c r="B819" s="5"/>
      <c r="D819" s="5"/>
    </row>
    <row r="820">
      <c r="A820" s="5"/>
      <c r="B820" s="5"/>
      <c r="D820" s="5"/>
    </row>
    <row r="821">
      <c r="A821" s="5"/>
      <c r="B821" s="5"/>
      <c r="D821" s="5"/>
    </row>
    <row r="822">
      <c r="A822" s="5"/>
      <c r="B822" s="5"/>
      <c r="D822" s="5"/>
    </row>
    <row r="823">
      <c r="A823" s="5"/>
      <c r="B823" s="5"/>
      <c r="D823" s="5"/>
    </row>
    <row r="824">
      <c r="A824" s="5"/>
      <c r="B824" s="5"/>
      <c r="D824" s="5"/>
    </row>
    <row r="825">
      <c r="A825" s="5"/>
      <c r="B825" s="5"/>
      <c r="D825" s="5"/>
    </row>
    <row r="826">
      <c r="A826" s="5"/>
      <c r="B826" s="5"/>
      <c r="D826" s="5"/>
    </row>
    <row r="827">
      <c r="A827" s="5"/>
      <c r="B827" s="5"/>
      <c r="D827" s="5"/>
    </row>
    <row r="828">
      <c r="A828" s="5"/>
      <c r="B828" s="5"/>
      <c r="D828" s="5"/>
    </row>
    <row r="829">
      <c r="A829" s="5"/>
      <c r="B829" s="5"/>
      <c r="D829" s="5"/>
    </row>
    <row r="830">
      <c r="A830" s="5"/>
      <c r="B830" s="5"/>
      <c r="D830" s="5"/>
    </row>
    <row r="831">
      <c r="A831" s="5"/>
      <c r="B831" s="5"/>
      <c r="D831" s="5"/>
    </row>
    <row r="832">
      <c r="A832" s="5"/>
      <c r="B832" s="5"/>
      <c r="D832" s="5"/>
    </row>
    <row r="833">
      <c r="A833" s="5"/>
      <c r="B833" s="5"/>
      <c r="D833" s="5"/>
    </row>
    <row r="834">
      <c r="A834" s="5"/>
      <c r="B834" s="5"/>
      <c r="D834" s="5"/>
    </row>
    <row r="835">
      <c r="A835" s="5"/>
      <c r="B835" s="5"/>
      <c r="D835" s="5"/>
    </row>
    <row r="836">
      <c r="A836" s="5"/>
      <c r="B836" s="5"/>
      <c r="D836" s="5"/>
    </row>
    <row r="837">
      <c r="A837" s="5"/>
      <c r="B837" s="5"/>
      <c r="D837" s="5"/>
    </row>
    <row r="838">
      <c r="A838" s="5"/>
      <c r="B838" s="5"/>
      <c r="D838" s="5"/>
    </row>
    <row r="839">
      <c r="A839" s="5"/>
      <c r="B839" s="5"/>
      <c r="D839" s="5"/>
    </row>
    <row r="840">
      <c r="A840" s="5"/>
      <c r="B840" s="5"/>
      <c r="D840" s="5"/>
    </row>
    <row r="841">
      <c r="A841" s="5"/>
      <c r="B841" s="5"/>
      <c r="D841" s="5"/>
    </row>
    <row r="842">
      <c r="A842" s="5"/>
      <c r="B842" s="5"/>
      <c r="D842" s="5"/>
    </row>
    <row r="843">
      <c r="A843" s="5"/>
      <c r="B843" s="5"/>
      <c r="D843" s="5"/>
    </row>
    <row r="844">
      <c r="A844" s="5"/>
      <c r="B844" s="5"/>
      <c r="D844" s="5"/>
    </row>
    <row r="845">
      <c r="A845" s="5"/>
      <c r="B845" s="5"/>
      <c r="D845" s="5"/>
    </row>
    <row r="846">
      <c r="A846" s="5"/>
      <c r="B846" s="5"/>
      <c r="D846" s="5"/>
    </row>
    <row r="847">
      <c r="A847" s="5"/>
      <c r="B847" s="5"/>
      <c r="D847" s="5"/>
    </row>
    <row r="848">
      <c r="A848" s="5"/>
      <c r="B848" s="5"/>
      <c r="D848" s="5"/>
    </row>
    <row r="849">
      <c r="A849" s="5"/>
      <c r="B849" s="5"/>
      <c r="D849" s="5"/>
    </row>
    <row r="850">
      <c r="A850" s="5"/>
      <c r="B850" s="5"/>
      <c r="D850" s="5"/>
    </row>
    <row r="851">
      <c r="A851" s="5"/>
      <c r="B851" s="5"/>
      <c r="D851" s="5"/>
    </row>
    <row r="852">
      <c r="A852" s="5"/>
      <c r="B852" s="5"/>
      <c r="D852" s="5"/>
    </row>
    <row r="853">
      <c r="A853" s="5"/>
      <c r="B853" s="5"/>
      <c r="D853" s="5"/>
    </row>
    <row r="854">
      <c r="A854" s="5"/>
      <c r="B854" s="5"/>
      <c r="D854" s="5"/>
    </row>
    <row r="855">
      <c r="A855" s="5"/>
      <c r="B855" s="5"/>
      <c r="D855" s="5"/>
    </row>
    <row r="856">
      <c r="A856" s="5"/>
      <c r="B856" s="5"/>
      <c r="D856" s="5"/>
    </row>
    <row r="857">
      <c r="A857" s="5"/>
      <c r="B857" s="5"/>
      <c r="D857" s="5"/>
    </row>
    <row r="858">
      <c r="A858" s="5"/>
      <c r="B858" s="5"/>
      <c r="D858" s="5"/>
    </row>
    <row r="859">
      <c r="A859" s="5"/>
      <c r="B859" s="5"/>
      <c r="D859" s="5"/>
    </row>
    <row r="860">
      <c r="A860" s="5"/>
      <c r="B860" s="5"/>
      <c r="D860" s="5"/>
    </row>
    <row r="861">
      <c r="A861" s="5"/>
      <c r="B861" s="5"/>
      <c r="D861" s="5"/>
    </row>
    <row r="862">
      <c r="A862" s="5"/>
      <c r="B862" s="5"/>
      <c r="D862" s="5"/>
    </row>
    <row r="863">
      <c r="A863" s="5"/>
      <c r="B863" s="5"/>
      <c r="D863" s="5"/>
    </row>
    <row r="864">
      <c r="A864" s="5"/>
      <c r="B864" s="5"/>
      <c r="D864" s="5"/>
    </row>
    <row r="865">
      <c r="A865" s="5"/>
      <c r="B865" s="5"/>
      <c r="D865" s="5"/>
    </row>
    <row r="866">
      <c r="A866" s="5"/>
      <c r="B866" s="5"/>
      <c r="D866" s="5"/>
    </row>
    <row r="867">
      <c r="A867" s="5"/>
      <c r="B867" s="5"/>
      <c r="D867" s="5"/>
    </row>
    <row r="868">
      <c r="A868" s="5"/>
      <c r="B868" s="5"/>
      <c r="D868" s="5"/>
    </row>
    <row r="869">
      <c r="A869" s="5"/>
      <c r="B869" s="5"/>
      <c r="D869" s="5"/>
    </row>
    <row r="870">
      <c r="A870" s="5"/>
      <c r="B870" s="5"/>
      <c r="D870" s="5"/>
    </row>
    <row r="871">
      <c r="A871" s="5"/>
      <c r="B871" s="5"/>
      <c r="D871" s="5"/>
    </row>
    <row r="872">
      <c r="A872" s="5"/>
      <c r="B872" s="5"/>
      <c r="D872" s="5"/>
    </row>
    <row r="873">
      <c r="A873" s="5"/>
      <c r="B873" s="5"/>
      <c r="D873" s="5"/>
    </row>
    <row r="874">
      <c r="A874" s="5"/>
      <c r="B874" s="5"/>
      <c r="D874" s="5"/>
    </row>
    <row r="875">
      <c r="A875" s="5"/>
      <c r="B875" s="5"/>
      <c r="D875" s="5"/>
    </row>
    <row r="876">
      <c r="A876" s="5"/>
      <c r="B876" s="5"/>
      <c r="D876" s="5"/>
    </row>
    <row r="877">
      <c r="A877" s="5"/>
      <c r="B877" s="5"/>
      <c r="D877" s="5"/>
    </row>
    <row r="878">
      <c r="A878" s="5"/>
      <c r="B878" s="5"/>
      <c r="D878" s="5"/>
    </row>
    <row r="879">
      <c r="A879" s="5"/>
      <c r="B879" s="5"/>
      <c r="D879" s="5"/>
    </row>
    <row r="880">
      <c r="A880" s="5"/>
      <c r="B880" s="5"/>
      <c r="D880" s="5"/>
    </row>
    <row r="881">
      <c r="A881" s="5"/>
      <c r="B881" s="5"/>
      <c r="D881" s="5"/>
    </row>
    <row r="882">
      <c r="A882" s="5"/>
      <c r="B882" s="5"/>
      <c r="D882" s="5"/>
    </row>
    <row r="883">
      <c r="A883" s="5"/>
      <c r="B883" s="5"/>
      <c r="D883" s="5"/>
    </row>
    <row r="884">
      <c r="A884" s="5"/>
      <c r="B884" s="5"/>
      <c r="D884" s="5"/>
    </row>
    <row r="885">
      <c r="A885" s="5"/>
      <c r="B885" s="5"/>
      <c r="D885" s="5"/>
    </row>
    <row r="886">
      <c r="A886" s="5"/>
      <c r="B886" s="5"/>
      <c r="D886" s="5"/>
    </row>
    <row r="887">
      <c r="A887" s="5"/>
      <c r="B887" s="5"/>
      <c r="D887" s="5"/>
    </row>
    <row r="888">
      <c r="A888" s="5"/>
      <c r="B888" s="5"/>
      <c r="D888" s="5"/>
    </row>
    <row r="889">
      <c r="A889" s="5"/>
      <c r="B889" s="5"/>
      <c r="D889" s="5"/>
    </row>
    <row r="890">
      <c r="A890" s="5"/>
      <c r="B890" s="5"/>
      <c r="D890" s="5"/>
    </row>
    <row r="891">
      <c r="A891" s="5"/>
      <c r="B891" s="5"/>
      <c r="D891" s="5"/>
    </row>
    <row r="892">
      <c r="A892" s="5"/>
      <c r="B892" s="5"/>
      <c r="D892" s="5"/>
    </row>
    <row r="893">
      <c r="A893" s="5"/>
      <c r="B893" s="5"/>
      <c r="D893" s="5"/>
    </row>
    <row r="894">
      <c r="A894" s="5"/>
      <c r="B894" s="5"/>
      <c r="D894" s="5"/>
    </row>
    <row r="895">
      <c r="A895" s="5"/>
      <c r="B895" s="5"/>
      <c r="D895" s="5"/>
    </row>
    <row r="896">
      <c r="A896" s="5"/>
      <c r="B896" s="5"/>
      <c r="D896" s="5"/>
    </row>
    <row r="897">
      <c r="A897" s="5"/>
      <c r="B897" s="5"/>
      <c r="D897" s="5"/>
    </row>
    <row r="898">
      <c r="A898" s="5"/>
      <c r="B898" s="5"/>
      <c r="D898" s="5"/>
    </row>
    <row r="899">
      <c r="A899" s="5"/>
      <c r="B899" s="5"/>
      <c r="D899" s="5"/>
    </row>
    <row r="900">
      <c r="A900" s="5"/>
      <c r="B900" s="5"/>
      <c r="D900" s="5"/>
    </row>
    <row r="901">
      <c r="A901" s="5"/>
      <c r="B901" s="5"/>
      <c r="D901" s="5"/>
    </row>
    <row r="902">
      <c r="A902" s="5"/>
      <c r="B902" s="5"/>
      <c r="D902" s="5"/>
    </row>
    <row r="903">
      <c r="A903" s="5"/>
      <c r="B903" s="5"/>
      <c r="D903" s="5"/>
    </row>
    <row r="904">
      <c r="A904" s="5"/>
      <c r="B904" s="5"/>
      <c r="D904" s="5"/>
    </row>
    <row r="905">
      <c r="A905" s="5"/>
      <c r="B905" s="5"/>
      <c r="D905" s="5"/>
    </row>
    <row r="906">
      <c r="A906" s="5"/>
      <c r="B906" s="5"/>
      <c r="D906" s="5"/>
    </row>
    <row r="907">
      <c r="A907" s="5"/>
      <c r="B907" s="5"/>
      <c r="D907" s="5"/>
    </row>
    <row r="908">
      <c r="A908" s="5"/>
      <c r="B908" s="5"/>
      <c r="D908" s="5"/>
    </row>
    <row r="909">
      <c r="A909" s="5"/>
      <c r="B909" s="5"/>
      <c r="D909" s="5"/>
    </row>
    <row r="910">
      <c r="A910" s="5"/>
      <c r="B910" s="5"/>
      <c r="D910" s="5"/>
    </row>
    <row r="911">
      <c r="A911" s="5"/>
      <c r="B911" s="5"/>
      <c r="D911" s="5"/>
    </row>
    <row r="912">
      <c r="A912" s="5"/>
      <c r="B912" s="5"/>
      <c r="D912" s="5"/>
    </row>
    <row r="913">
      <c r="A913" s="5"/>
      <c r="B913" s="5"/>
      <c r="D913" s="5"/>
    </row>
    <row r="914">
      <c r="A914" s="5"/>
      <c r="B914" s="5"/>
      <c r="D914" s="5"/>
    </row>
    <row r="915">
      <c r="A915" s="5"/>
      <c r="B915" s="5"/>
      <c r="D915" s="5"/>
    </row>
    <row r="916">
      <c r="A916" s="5"/>
      <c r="B916" s="5"/>
      <c r="D916" s="5"/>
    </row>
    <row r="917">
      <c r="A917" s="5"/>
      <c r="B917" s="5"/>
      <c r="D917" s="5"/>
    </row>
    <row r="918">
      <c r="A918" s="5"/>
      <c r="B918" s="5"/>
      <c r="D918" s="5"/>
    </row>
    <row r="919">
      <c r="A919" s="5"/>
      <c r="B919" s="5"/>
      <c r="D919" s="5"/>
    </row>
    <row r="920">
      <c r="A920" s="5"/>
      <c r="B920" s="5"/>
      <c r="D920" s="5"/>
    </row>
    <row r="921">
      <c r="A921" s="5"/>
      <c r="B921" s="5"/>
      <c r="D921" s="5"/>
    </row>
    <row r="922">
      <c r="A922" s="5"/>
      <c r="B922" s="5"/>
      <c r="D922" s="5"/>
    </row>
    <row r="923">
      <c r="A923" s="5"/>
      <c r="B923" s="5"/>
      <c r="D923" s="5"/>
    </row>
    <row r="924">
      <c r="A924" s="5"/>
      <c r="B924" s="5"/>
      <c r="D924" s="5"/>
    </row>
    <row r="925">
      <c r="A925" s="5"/>
      <c r="B925" s="5"/>
      <c r="D925" s="5"/>
    </row>
    <row r="926">
      <c r="A926" s="5"/>
      <c r="B926" s="5"/>
      <c r="D926" s="5"/>
    </row>
    <row r="927">
      <c r="A927" s="5"/>
      <c r="B927" s="5"/>
      <c r="D927" s="5"/>
    </row>
    <row r="928">
      <c r="A928" s="5"/>
      <c r="B928" s="5"/>
      <c r="D928" s="5"/>
    </row>
    <row r="929">
      <c r="A929" s="5"/>
      <c r="B929" s="5"/>
      <c r="D929" s="5"/>
    </row>
    <row r="930">
      <c r="A930" s="5"/>
      <c r="B930" s="5"/>
      <c r="D930" s="5"/>
    </row>
    <row r="931">
      <c r="A931" s="5"/>
      <c r="B931" s="5"/>
      <c r="D931" s="5"/>
    </row>
    <row r="932">
      <c r="A932" s="5"/>
      <c r="B932" s="5"/>
      <c r="D932" s="5"/>
    </row>
    <row r="933">
      <c r="A933" s="5"/>
      <c r="B933" s="5"/>
      <c r="D933" s="5"/>
    </row>
    <row r="934">
      <c r="A934" s="5"/>
      <c r="B934" s="5"/>
      <c r="D934" s="5"/>
    </row>
    <row r="935">
      <c r="A935" s="5"/>
      <c r="B935" s="5"/>
      <c r="D935" s="5"/>
    </row>
    <row r="936">
      <c r="A936" s="5"/>
      <c r="B936" s="5"/>
      <c r="D936" s="5"/>
    </row>
    <row r="937">
      <c r="A937" s="5"/>
      <c r="B937" s="5"/>
      <c r="D937" s="5"/>
    </row>
    <row r="938">
      <c r="A938" s="5"/>
      <c r="B938" s="5"/>
      <c r="D938" s="5"/>
    </row>
    <row r="939">
      <c r="A939" s="5"/>
      <c r="B939" s="5"/>
      <c r="D939" s="5"/>
    </row>
    <row r="940">
      <c r="A940" s="5"/>
      <c r="B940" s="5"/>
      <c r="D940" s="5"/>
    </row>
    <row r="941">
      <c r="A941" s="5"/>
      <c r="B941" s="5"/>
      <c r="D941" s="5"/>
    </row>
    <row r="942">
      <c r="A942" s="5"/>
      <c r="B942" s="5"/>
      <c r="D942" s="5"/>
    </row>
    <row r="943">
      <c r="A943" s="5"/>
      <c r="B943" s="5"/>
      <c r="D943" s="5"/>
    </row>
    <row r="944">
      <c r="A944" s="5"/>
      <c r="B944" s="5"/>
      <c r="D944" s="5"/>
    </row>
    <row r="945">
      <c r="A945" s="5"/>
      <c r="B945" s="5"/>
      <c r="D945" s="5"/>
    </row>
    <row r="946">
      <c r="A946" s="5"/>
      <c r="B946" s="5"/>
      <c r="D946" s="5"/>
    </row>
    <row r="947">
      <c r="A947" s="5"/>
      <c r="B947" s="5"/>
      <c r="D947" s="5"/>
    </row>
    <row r="948">
      <c r="A948" s="5"/>
      <c r="B948" s="5"/>
      <c r="D948" s="5"/>
    </row>
    <row r="949">
      <c r="A949" s="5"/>
      <c r="B949" s="5"/>
      <c r="D949" s="5"/>
    </row>
    <row r="950">
      <c r="A950" s="5"/>
      <c r="B950" s="5"/>
      <c r="D950" s="5"/>
    </row>
    <row r="951">
      <c r="A951" s="5"/>
      <c r="B951" s="5"/>
      <c r="D951" s="5"/>
    </row>
    <row r="952">
      <c r="A952" s="5"/>
      <c r="B952" s="5"/>
      <c r="D952" s="5"/>
    </row>
    <row r="953">
      <c r="A953" s="5"/>
      <c r="B953" s="5"/>
      <c r="D953" s="5"/>
    </row>
    <row r="954">
      <c r="A954" s="5"/>
      <c r="B954" s="5"/>
      <c r="D954" s="5"/>
    </row>
    <row r="955">
      <c r="A955" s="5"/>
      <c r="B955" s="5"/>
      <c r="D955" s="5"/>
    </row>
    <row r="956">
      <c r="A956" s="5"/>
      <c r="B956" s="5"/>
      <c r="D956" s="5"/>
    </row>
    <row r="957">
      <c r="A957" s="5"/>
      <c r="B957" s="5"/>
      <c r="D957" s="5"/>
    </row>
    <row r="958">
      <c r="A958" s="5"/>
      <c r="B958" s="5"/>
      <c r="D958" s="5"/>
    </row>
    <row r="959">
      <c r="A959" s="5"/>
      <c r="B959" s="5"/>
      <c r="D959" s="5"/>
    </row>
    <row r="960">
      <c r="A960" s="5"/>
      <c r="B960" s="5"/>
      <c r="D960" s="5"/>
    </row>
    <row r="961">
      <c r="A961" s="5"/>
      <c r="B961" s="5"/>
      <c r="D961" s="5"/>
    </row>
    <row r="962">
      <c r="A962" s="5"/>
      <c r="B962" s="5"/>
      <c r="D962" s="5"/>
    </row>
    <row r="963">
      <c r="A963" s="5"/>
      <c r="B963" s="5"/>
      <c r="D963" s="5"/>
    </row>
    <row r="964">
      <c r="A964" s="5"/>
      <c r="B964" s="5"/>
      <c r="D964" s="5"/>
    </row>
    <row r="965">
      <c r="A965" s="5"/>
      <c r="B965" s="5"/>
      <c r="D965" s="5"/>
    </row>
    <row r="966">
      <c r="A966" s="5"/>
      <c r="B966" s="5"/>
      <c r="D966" s="5"/>
    </row>
    <row r="967">
      <c r="A967" s="5"/>
      <c r="B967" s="5"/>
      <c r="D967" s="5"/>
    </row>
    <row r="968">
      <c r="A968" s="5"/>
      <c r="B968" s="5"/>
      <c r="D968" s="5"/>
    </row>
    <row r="969">
      <c r="A969" s="5"/>
      <c r="B969" s="5"/>
      <c r="D969" s="5"/>
    </row>
    <row r="970">
      <c r="A970" s="5"/>
      <c r="B970" s="5"/>
      <c r="D970" s="5"/>
    </row>
    <row r="971">
      <c r="A971" s="5"/>
      <c r="B971" s="5"/>
      <c r="D971" s="5"/>
    </row>
    <row r="972">
      <c r="A972" s="5"/>
      <c r="B972" s="5"/>
      <c r="D972" s="5"/>
    </row>
    <row r="973">
      <c r="A973" s="5"/>
      <c r="B973" s="5"/>
      <c r="D973" s="5"/>
    </row>
    <row r="974">
      <c r="A974" s="5"/>
      <c r="B974" s="5"/>
      <c r="D974" s="5"/>
    </row>
    <row r="975">
      <c r="A975" s="5"/>
      <c r="B975" s="5"/>
      <c r="D975" s="5"/>
    </row>
    <row r="976">
      <c r="A976" s="5"/>
      <c r="B976" s="5"/>
      <c r="D976" s="5"/>
    </row>
    <row r="977">
      <c r="A977" s="5"/>
      <c r="B977" s="5"/>
      <c r="D977" s="5"/>
    </row>
    <row r="978">
      <c r="A978" s="5"/>
      <c r="B978" s="5"/>
      <c r="D978" s="5"/>
    </row>
    <row r="979">
      <c r="A979" s="5"/>
      <c r="B979" s="5"/>
      <c r="D979" s="5"/>
    </row>
    <row r="980">
      <c r="A980" s="5"/>
      <c r="B980" s="5"/>
      <c r="D980" s="5"/>
    </row>
    <row r="981">
      <c r="A981" s="5"/>
      <c r="B981" s="5"/>
      <c r="D981" s="5"/>
    </row>
    <row r="982">
      <c r="A982" s="5"/>
      <c r="B982" s="5"/>
      <c r="D982" s="5"/>
    </row>
    <row r="983">
      <c r="A983" s="5"/>
      <c r="B983" s="5"/>
      <c r="D983" s="5"/>
    </row>
    <row r="984">
      <c r="A984" s="5"/>
      <c r="B984" s="5"/>
      <c r="D984" s="5"/>
    </row>
    <row r="985">
      <c r="A985" s="5"/>
      <c r="B985" s="5"/>
      <c r="D985" s="5"/>
    </row>
    <row r="986">
      <c r="A986" s="5"/>
      <c r="B986" s="5"/>
      <c r="D986" s="5"/>
    </row>
    <row r="987">
      <c r="A987" s="5"/>
      <c r="B987" s="5"/>
      <c r="D987" s="5"/>
    </row>
    <row r="988">
      <c r="A988" s="5"/>
      <c r="B988" s="5"/>
      <c r="D988" s="5"/>
    </row>
    <row r="989">
      <c r="A989" s="5"/>
      <c r="B989" s="5"/>
      <c r="D989" s="5"/>
    </row>
    <row r="990">
      <c r="A990" s="5"/>
      <c r="B990" s="5"/>
      <c r="D990" s="5"/>
    </row>
    <row r="991">
      <c r="A991" s="5"/>
      <c r="B991" s="5"/>
      <c r="D991" s="5"/>
    </row>
    <row r="992">
      <c r="A992" s="5"/>
      <c r="B992" s="5"/>
      <c r="D992" s="5"/>
    </row>
    <row r="993">
      <c r="A993" s="5"/>
      <c r="B993" s="5"/>
      <c r="D993" s="5"/>
    </row>
    <row r="994">
      <c r="A994" s="5"/>
      <c r="B994" s="5"/>
      <c r="D994" s="5"/>
    </row>
    <row r="995">
      <c r="A995" s="5"/>
      <c r="B995" s="5"/>
      <c r="D995" s="5"/>
    </row>
  </sheetData>
  <dataValidations>
    <dataValidation type="list" allowBlank="1" showErrorMessage="1" sqref="D2:D995">
      <formula1>"NA,Alamin,SpiralCon,umarjamal,furiouslytech,jerryjhlee,krishnagangwal,itsztales,sujartech,johncorbett,matebreton,jakemok.io,David Chen,jackk_flick,ai.veerse,jonesyslifestyle,pirknn,ssssafin,vizzystudies,the agi guide,basunverse,cindiezhu,chase_enloe"</formula1>
    </dataValidation>
    <dataValidation type="list" allowBlank="1" showErrorMessage="1" sqref="A2:A995">
      <formula1>"Yes,Tool,Others,Learning"</formula1>
    </dataValidation>
    <dataValidation type="list" allowBlank="1" showErrorMessage="1" sqref="B2:B995">
      <formula1>"Data Analysis,Development,Business,Machine Learning,AI,SQL,Consulting"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D85"/>
    <hyperlink r:id="rId85" ref="G85"/>
    <hyperlink r:id="rId86" ref="D86"/>
    <hyperlink r:id="rId87" ref="G86"/>
    <hyperlink r:id="rId88" ref="D87"/>
    <hyperlink r:id="rId89" ref="G87"/>
    <hyperlink r:id="rId90" ref="D88"/>
    <hyperlink r:id="rId91" ref="G88"/>
    <hyperlink r:id="rId92" ref="D89"/>
    <hyperlink r:id="rId93" ref="G89"/>
    <hyperlink r:id="rId94" ref="D90"/>
    <hyperlink r:id="rId95" ref="G90"/>
    <hyperlink r:id="rId96" ref="D91"/>
    <hyperlink r:id="rId97" ref="G91"/>
    <hyperlink r:id="rId98" ref="D92"/>
    <hyperlink r:id="rId99" ref="G92"/>
    <hyperlink r:id="rId100" ref="D93"/>
    <hyperlink r:id="rId101" ref="G93"/>
    <hyperlink r:id="rId102" ref="D94"/>
    <hyperlink r:id="rId103" ref="G94"/>
    <hyperlink r:id="rId104" ref="D95"/>
    <hyperlink r:id="rId105" ref="G95"/>
    <hyperlink r:id="rId106" ref="D96"/>
    <hyperlink r:id="rId107" ref="G96"/>
    <hyperlink r:id="rId108" ref="D97"/>
    <hyperlink r:id="rId109" ref="G97"/>
    <hyperlink r:id="rId110" ref="D98"/>
    <hyperlink r:id="rId111" ref="G98"/>
    <hyperlink r:id="rId112" ref="D99"/>
    <hyperlink r:id="rId113" ref="G99"/>
    <hyperlink r:id="rId114" ref="D100"/>
    <hyperlink r:id="rId115" ref="G100"/>
    <hyperlink r:id="rId116" ref="D101"/>
    <hyperlink r:id="rId117" ref="G101"/>
    <hyperlink r:id="rId118" ref="D102"/>
    <hyperlink r:id="rId119" ref="G102"/>
    <hyperlink r:id="rId120" ref="D103"/>
    <hyperlink r:id="rId121" ref="G103"/>
    <hyperlink r:id="rId122" ref="D104"/>
    <hyperlink r:id="rId123" ref="G104"/>
    <hyperlink r:id="rId124" ref="D105"/>
    <hyperlink r:id="rId125" ref="G105"/>
    <hyperlink r:id="rId126" ref="D106"/>
    <hyperlink r:id="rId127" ref="G106"/>
    <hyperlink r:id="rId128" ref="D107"/>
    <hyperlink r:id="rId129" ref="G107"/>
    <hyperlink r:id="rId130" ref="D108"/>
    <hyperlink r:id="rId131" ref="G108"/>
    <hyperlink r:id="rId132" ref="D109"/>
    <hyperlink r:id="rId133" ref="G109"/>
    <hyperlink r:id="rId134" ref="D110"/>
    <hyperlink r:id="rId135" ref="G110"/>
    <hyperlink r:id="rId136" ref="D111"/>
    <hyperlink r:id="rId137" ref="G111"/>
    <hyperlink r:id="rId138" ref="D112"/>
    <hyperlink r:id="rId139" ref="G112"/>
    <hyperlink r:id="rId140" ref="G113"/>
    <hyperlink r:id="rId141" ref="G114"/>
    <hyperlink r:id="rId142" ref="G115"/>
    <hyperlink r:id="rId143" ref="G116"/>
    <hyperlink r:id="rId144" ref="G117"/>
    <hyperlink r:id="rId145" ref="G118"/>
    <hyperlink r:id="rId146" ref="G119"/>
    <hyperlink r:id="rId147" ref="G120"/>
    <hyperlink r:id="rId148" ref="G121"/>
    <hyperlink r:id="rId149" ref="G122"/>
    <hyperlink r:id="rId150" ref="G123"/>
    <hyperlink r:id="rId151" ref="G124"/>
    <hyperlink r:id="rId152" ref="G125"/>
    <hyperlink r:id="rId153" ref="G126"/>
    <hyperlink r:id="rId154" ref="G127"/>
    <hyperlink r:id="rId155" ref="G128"/>
    <hyperlink r:id="rId156" ref="G129"/>
    <hyperlink r:id="rId157" ref="G130"/>
    <hyperlink r:id="rId158" ref="G131"/>
    <hyperlink r:id="rId159" ref="G132"/>
    <hyperlink r:id="rId160" ref="G133"/>
    <hyperlink r:id="rId161" ref="G134"/>
    <hyperlink r:id="rId162" ref="G135"/>
    <hyperlink r:id="rId163" ref="G136"/>
    <hyperlink r:id="rId164" ref="G137"/>
    <hyperlink r:id="rId165" ref="G138"/>
    <hyperlink r:id="rId166" ref="G139"/>
    <hyperlink r:id="rId167" ref="G140"/>
    <hyperlink r:id="rId168" ref="G141"/>
    <hyperlink r:id="rId169" ref="G142"/>
    <hyperlink r:id="rId170" ref="G143"/>
    <hyperlink r:id="rId171" ref="G144"/>
    <hyperlink r:id="rId172" ref="G145"/>
    <hyperlink r:id="rId173" ref="G146"/>
    <hyperlink r:id="rId174" ref="G147"/>
    <hyperlink r:id="rId175" ref="G148"/>
    <hyperlink r:id="rId176" ref="G149"/>
    <hyperlink r:id="rId177" ref="G150"/>
    <hyperlink r:id="rId178" ref="G151"/>
    <hyperlink r:id="rId179" ref="G152"/>
    <hyperlink r:id="rId180" ref="G153"/>
    <hyperlink r:id="rId181" ref="G154"/>
    <hyperlink r:id="rId182" ref="G155"/>
    <hyperlink r:id="rId183" ref="G156"/>
    <hyperlink r:id="rId184" ref="G157"/>
    <hyperlink r:id="rId185" ref="G158"/>
  </hyperlinks>
  <drawing r:id="rId18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  <col customWidth="1" min="5" max="5" width="18.25"/>
    <col customWidth="1" min="8" max="8" width="13.63"/>
  </cols>
  <sheetData>
    <row r="1">
      <c r="A1" s="1" t="s">
        <v>5</v>
      </c>
      <c r="B1" s="1" t="s">
        <v>9</v>
      </c>
      <c r="C1" s="1" t="s">
        <v>13</v>
      </c>
      <c r="D1" s="1" t="s">
        <v>2</v>
      </c>
      <c r="E1" s="1" t="s">
        <v>18</v>
      </c>
      <c r="F1" s="1" t="s">
        <v>19</v>
      </c>
      <c r="G1" s="1" t="s">
        <v>22</v>
      </c>
    </row>
    <row r="2">
      <c r="A2" s="1">
        <v>1.0</v>
      </c>
      <c r="B2" s="1" t="s">
        <v>24</v>
      </c>
      <c r="C2" s="1" t="s">
        <v>25</v>
      </c>
      <c r="D2" s="1" t="s">
        <v>28</v>
      </c>
      <c r="E2" s="2" t="s">
        <v>29</v>
      </c>
      <c r="F2" s="1">
        <v>0.0</v>
      </c>
      <c r="G2" s="1">
        <v>2.0</v>
      </c>
    </row>
    <row r="3">
      <c r="A3" s="1">
        <v>2.0</v>
      </c>
      <c r="B3" s="1" t="s">
        <v>35</v>
      </c>
      <c r="C3" s="1" t="s">
        <v>36</v>
      </c>
      <c r="D3" s="1" t="s">
        <v>28</v>
      </c>
      <c r="E3" s="8" t="s">
        <v>37</v>
      </c>
      <c r="F3" s="1">
        <v>0.0</v>
      </c>
      <c r="G3" s="1" t="s">
        <v>43</v>
      </c>
    </row>
    <row r="4">
      <c r="A4" s="1">
        <v>3.0</v>
      </c>
      <c r="B4" s="9" t="s">
        <v>45</v>
      </c>
      <c r="C4" s="9" t="s">
        <v>36</v>
      </c>
      <c r="D4" s="1" t="s">
        <v>28</v>
      </c>
      <c r="E4" s="10" t="s">
        <v>46</v>
      </c>
      <c r="F4" s="1">
        <v>0.0</v>
      </c>
      <c r="G4" s="1" t="s">
        <v>43</v>
      </c>
      <c r="H4" s="1"/>
    </row>
    <row r="5">
      <c r="A5" s="1">
        <v>4.0</v>
      </c>
      <c r="B5" s="9" t="s">
        <v>52</v>
      </c>
      <c r="C5" s="9" t="s">
        <v>36</v>
      </c>
      <c r="D5" s="1" t="s">
        <v>28</v>
      </c>
      <c r="E5" s="10" t="s">
        <v>53</v>
      </c>
      <c r="F5" s="1">
        <v>0.0</v>
      </c>
      <c r="G5" s="1" t="s">
        <v>43</v>
      </c>
      <c r="H5" s="1"/>
    </row>
    <row r="6">
      <c r="A6" s="1">
        <v>5.0</v>
      </c>
      <c r="B6" s="1" t="s">
        <v>57</v>
      </c>
      <c r="C6" s="1" t="s">
        <v>58</v>
      </c>
      <c r="D6" s="1" t="s">
        <v>59</v>
      </c>
      <c r="E6" s="2" t="s">
        <v>60</v>
      </c>
      <c r="F6" s="1">
        <v>0.0</v>
      </c>
      <c r="G6" s="1" t="s">
        <v>43</v>
      </c>
    </row>
    <row r="7">
      <c r="A7" s="1">
        <v>6.0</v>
      </c>
      <c r="B7" s="1" t="s">
        <v>66</v>
      </c>
      <c r="C7" s="1" t="s">
        <v>58</v>
      </c>
      <c r="D7" s="1" t="s">
        <v>59</v>
      </c>
      <c r="E7" s="4" t="s">
        <v>67</v>
      </c>
      <c r="F7" s="1">
        <v>0.0</v>
      </c>
      <c r="G7" s="1" t="s">
        <v>43</v>
      </c>
    </row>
    <row r="8">
      <c r="A8" s="1">
        <v>7.0</v>
      </c>
      <c r="B8" s="1" t="s">
        <v>75</v>
      </c>
      <c r="C8" s="1" t="s">
        <v>58</v>
      </c>
      <c r="D8" s="1" t="s">
        <v>59</v>
      </c>
      <c r="E8" s="2" t="s">
        <v>76</v>
      </c>
      <c r="F8" s="1">
        <v>0.0</v>
      </c>
      <c r="G8" s="1" t="s">
        <v>43</v>
      </c>
    </row>
    <row r="9">
      <c r="A9" s="1">
        <v>8.0</v>
      </c>
      <c r="B9" s="9" t="s">
        <v>82</v>
      </c>
      <c r="C9" s="1" t="s">
        <v>58</v>
      </c>
      <c r="D9" s="1" t="s">
        <v>59</v>
      </c>
      <c r="E9" s="2" t="s">
        <v>83</v>
      </c>
      <c r="F9" s="1">
        <v>0.0</v>
      </c>
      <c r="G9" s="1" t="s">
        <v>43</v>
      </c>
    </row>
    <row r="10">
      <c r="A10" s="1">
        <v>9.0</v>
      </c>
      <c r="B10" s="9" t="s">
        <v>89</v>
      </c>
      <c r="C10" s="1" t="s">
        <v>58</v>
      </c>
      <c r="D10" s="1" t="s">
        <v>90</v>
      </c>
      <c r="E10" s="2" t="s">
        <v>91</v>
      </c>
      <c r="F10" s="1">
        <v>0.0</v>
      </c>
      <c r="G10" s="1" t="s">
        <v>43</v>
      </c>
    </row>
    <row r="11">
      <c r="A11" s="1">
        <v>10.0</v>
      </c>
      <c r="B11" s="1" t="s">
        <v>93</v>
      </c>
      <c r="C11" s="1" t="s">
        <v>94</v>
      </c>
      <c r="D11" s="1" t="s">
        <v>95</v>
      </c>
      <c r="E11" s="4" t="s">
        <v>96</v>
      </c>
      <c r="F11" s="1">
        <v>0.0</v>
      </c>
      <c r="G11" s="1" t="s">
        <v>43</v>
      </c>
    </row>
    <row r="12">
      <c r="A12" s="1">
        <v>11.0</v>
      </c>
      <c r="B12" s="1" t="s">
        <v>99</v>
      </c>
      <c r="C12" s="1" t="s">
        <v>100</v>
      </c>
      <c r="D12" s="1" t="s">
        <v>101</v>
      </c>
      <c r="E12" s="2" t="s">
        <v>103</v>
      </c>
      <c r="F12" s="1">
        <v>0.0</v>
      </c>
      <c r="G12" s="1" t="s">
        <v>43</v>
      </c>
    </row>
    <row r="13">
      <c r="A13" s="1">
        <v>12.0</v>
      </c>
      <c r="B13" s="1" t="s">
        <v>105</v>
      </c>
      <c r="C13" s="1" t="s">
        <v>106</v>
      </c>
      <c r="D13" s="1" t="s">
        <v>101</v>
      </c>
      <c r="E13" s="2" t="s">
        <v>109</v>
      </c>
      <c r="F13" s="1">
        <v>0.0</v>
      </c>
      <c r="G13" s="1" t="s">
        <v>43</v>
      </c>
    </row>
    <row r="14">
      <c r="A14" s="1">
        <v>13.0</v>
      </c>
      <c r="B14" s="1" t="s">
        <v>111</v>
      </c>
      <c r="C14" s="1" t="s">
        <v>106</v>
      </c>
      <c r="D14" s="1" t="s">
        <v>112</v>
      </c>
      <c r="E14" s="2" t="s">
        <v>113</v>
      </c>
      <c r="F14" s="1">
        <v>0.0</v>
      </c>
      <c r="G14" s="1" t="s">
        <v>43</v>
      </c>
    </row>
    <row r="15">
      <c r="A15" s="1">
        <v>14.0</v>
      </c>
      <c r="B15" s="1" t="s">
        <v>118</v>
      </c>
      <c r="C15" s="1" t="s">
        <v>119</v>
      </c>
      <c r="D15" s="1" t="s">
        <v>28</v>
      </c>
      <c r="E15" s="2" t="s">
        <v>120</v>
      </c>
      <c r="F15" s="1">
        <v>0.0</v>
      </c>
      <c r="G15" s="1" t="s">
        <v>43</v>
      </c>
    </row>
    <row r="16">
      <c r="A16" s="1">
        <v>15.0</v>
      </c>
      <c r="B16" s="1" t="s">
        <v>122</v>
      </c>
      <c r="C16" s="1" t="s">
        <v>119</v>
      </c>
      <c r="D16" s="1" t="s">
        <v>28</v>
      </c>
      <c r="E16" s="2" t="s">
        <v>123</v>
      </c>
      <c r="F16" s="1">
        <v>0.0</v>
      </c>
      <c r="G16" s="1" t="s">
        <v>43</v>
      </c>
    </row>
    <row r="17">
      <c r="A17" s="1">
        <v>16.0</v>
      </c>
      <c r="B17" s="1" t="s">
        <v>126</v>
      </c>
      <c r="C17" s="1" t="s">
        <v>119</v>
      </c>
      <c r="D17" s="1" t="s">
        <v>28</v>
      </c>
      <c r="E17" s="2" t="s">
        <v>127</v>
      </c>
      <c r="F17" s="1">
        <v>0.0</v>
      </c>
      <c r="G17" s="1" t="s">
        <v>43</v>
      </c>
    </row>
    <row r="18">
      <c r="A18" s="1">
        <v>17.0</v>
      </c>
      <c r="B18" s="1" t="s">
        <v>134</v>
      </c>
      <c r="C18" s="1" t="s">
        <v>119</v>
      </c>
      <c r="D18" s="1" t="s">
        <v>59</v>
      </c>
      <c r="E18" s="2" t="s">
        <v>135</v>
      </c>
      <c r="F18" s="1">
        <v>0.0</v>
      </c>
      <c r="G18" s="1" t="s">
        <v>43</v>
      </c>
    </row>
    <row r="19">
      <c r="A19" s="1">
        <v>18.0</v>
      </c>
      <c r="B19" s="1" t="s">
        <v>138</v>
      </c>
      <c r="C19" s="1" t="s">
        <v>119</v>
      </c>
      <c r="D19" s="1" t="s">
        <v>139</v>
      </c>
      <c r="E19" s="2" t="s">
        <v>140</v>
      </c>
      <c r="F19" s="1">
        <v>0.0</v>
      </c>
      <c r="G19" s="1" t="s">
        <v>43</v>
      </c>
    </row>
    <row r="20">
      <c r="A20" s="1">
        <v>19.0</v>
      </c>
      <c r="B20" s="1" t="s">
        <v>145</v>
      </c>
      <c r="C20" s="1" t="s">
        <v>119</v>
      </c>
      <c r="D20" s="1" t="s">
        <v>112</v>
      </c>
      <c r="E20" s="2" t="s">
        <v>146</v>
      </c>
      <c r="F20" s="1">
        <v>0.0</v>
      </c>
      <c r="G20" s="1" t="s">
        <v>43</v>
      </c>
    </row>
    <row r="21">
      <c r="A21" s="1">
        <v>20.0</v>
      </c>
      <c r="B21" s="1" t="s">
        <v>151</v>
      </c>
      <c r="C21" s="1" t="s">
        <v>119</v>
      </c>
      <c r="D21" s="1" t="s">
        <v>139</v>
      </c>
      <c r="E21" s="2" t="s">
        <v>152</v>
      </c>
      <c r="F21" s="1">
        <v>0.0</v>
      </c>
      <c r="G21" s="1" t="s">
        <v>43</v>
      </c>
    </row>
    <row r="22">
      <c r="A22" s="1">
        <v>21.0</v>
      </c>
      <c r="B22" s="1" t="s">
        <v>155</v>
      </c>
      <c r="C22" s="1" t="s">
        <v>119</v>
      </c>
      <c r="D22" s="1" t="s">
        <v>59</v>
      </c>
      <c r="E22" s="4" t="s">
        <v>157</v>
      </c>
      <c r="F22" s="1">
        <v>0.0</v>
      </c>
      <c r="G22" s="1" t="s">
        <v>43</v>
      </c>
    </row>
    <row r="23">
      <c r="A23" s="1">
        <v>22.0</v>
      </c>
      <c r="B23" s="1" t="s">
        <v>163</v>
      </c>
      <c r="C23" s="1" t="s">
        <v>119</v>
      </c>
      <c r="D23" s="1" t="s">
        <v>59</v>
      </c>
      <c r="E23" s="2" t="s">
        <v>164</v>
      </c>
      <c r="F23" s="1">
        <v>0.0</v>
      </c>
      <c r="G23" s="1" t="s">
        <v>43</v>
      </c>
    </row>
    <row r="24">
      <c r="A24" s="1">
        <v>23.0</v>
      </c>
      <c r="B24" s="1" t="s">
        <v>166</v>
      </c>
      <c r="C24" s="11" t="s">
        <v>168</v>
      </c>
      <c r="D24" s="1" t="s">
        <v>169</v>
      </c>
      <c r="E24" s="12" t="s">
        <v>170</v>
      </c>
      <c r="F24" s="1">
        <v>0.0</v>
      </c>
      <c r="G24" s="1" t="s">
        <v>43</v>
      </c>
    </row>
    <row r="25">
      <c r="A25" s="1">
        <v>24.0</v>
      </c>
      <c r="B25" s="1" t="s">
        <v>171</v>
      </c>
      <c r="C25" s="1" t="s">
        <v>168</v>
      </c>
      <c r="D25" s="1" t="s">
        <v>169</v>
      </c>
      <c r="E25" s="2" t="s">
        <v>172</v>
      </c>
      <c r="F25" s="1">
        <v>0.0</v>
      </c>
      <c r="G25" s="1" t="s">
        <v>43</v>
      </c>
    </row>
    <row r="26">
      <c r="A26" s="1">
        <v>25.0</v>
      </c>
      <c r="B26" s="1" t="s">
        <v>173</v>
      </c>
      <c r="C26" s="1" t="s">
        <v>168</v>
      </c>
      <c r="D26" s="1" t="s">
        <v>169</v>
      </c>
      <c r="E26" s="2" t="s">
        <v>174</v>
      </c>
      <c r="F26" s="1">
        <v>0.0</v>
      </c>
      <c r="G26" s="1" t="s">
        <v>43</v>
      </c>
    </row>
    <row r="27">
      <c r="A27" s="1">
        <v>26.0</v>
      </c>
      <c r="B27" s="1" t="s">
        <v>177</v>
      </c>
      <c r="C27" s="1" t="s">
        <v>168</v>
      </c>
      <c r="D27" s="1" t="s">
        <v>169</v>
      </c>
      <c r="E27" s="2" t="s">
        <v>178</v>
      </c>
      <c r="F27" s="1">
        <v>0.0</v>
      </c>
      <c r="G27" s="1" t="s">
        <v>43</v>
      </c>
    </row>
    <row r="28">
      <c r="A28" s="1">
        <v>27.0</v>
      </c>
      <c r="B28" s="1" t="s">
        <v>179</v>
      </c>
      <c r="C28" s="1" t="s">
        <v>168</v>
      </c>
      <c r="D28" s="1" t="s">
        <v>169</v>
      </c>
      <c r="E28" s="2" t="s">
        <v>180</v>
      </c>
      <c r="F28" s="1">
        <v>0.0</v>
      </c>
      <c r="G28" s="1" t="s">
        <v>43</v>
      </c>
    </row>
    <row r="29">
      <c r="A29" s="1">
        <v>28.0</v>
      </c>
      <c r="B29" s="13" t="s">
        <v>79</v>
      </c>
      <c r="C29" s="11" t="s">
        <v>183</v>
      </c>
      <c r="D29" s="1" t="s">
        <v>59</v>
      </c>
      <c r="E29" s="12" t="s">
        <v>184</v>
      </c>
      <c r="F29" s="1">
        <v>0.0</v>
      </c>
      <c r="G29" s="1" t="s">
        <v>43</v>
      </c>
    </row>
    <row r="30">
      <c r="A30" s="1">
        <v>29.0</v>
      </c>
      <c r="B30" s="1" t="s">
        <v>41</v>
      </c>
      <c r="C30" s="11" t="s">
        <v>183</v>
      </c>
      <c r="D30" s="1" t="s">
        <v>28</v>
      </c>
      <c r="E30" s="2" t="s">
        <v>42</v>
      </c>
      <c r="F30" s="1">
        <v>0.0</v>
      </c>
      <c r="G30" s="1" t="s">
        <v>43</v>
      </c>
    </row>
    <row r="31">
      <c r="A31" s="1">
        <v>30.0</v>
      </c>
      <c r="B31" s="13" t="s">
        <v>49</v>
      </c>
      <c r="C31" s="11" t="s">
        <v>183</v>
      </c>
      <c r="D31" s="1" t="s">
        <v>112</v>
      </c>
      <c r="E31" s="2" t="s">
        <v>50</v>
      </c>
      <c r="F31" s="1">
        <v>0.0</v>
      </c>
      <c r="G31" s="1" t="s">
        <v>43</v>
      </c>
    </row>
    <row r="32">
      <c r="A32" s="1">
        <v>31.0</v>
      </c>
      <c r="B32" s="1" t="s">
        <v>55</v>
      </c>
      <c r="C32" s="11" t="s">
        <v>183</v>
      </c>
      <c r="D32" s="1" t="s">
        <v>59</v>
      </c>
      <c r="E32" s="2" t="s">
        <v>56</v>
      </c>
      <c r="F32" s="1">
        <v>0.0</v>
      </c>
      <c r="G32" s="1" t="s">
        <v>43</v>
      </c>
    </row>
    <row r="33">
      <c r="A33" s="1">
        <v>32.0</v>
      </c>
      <c r="B33" s="13" t="s">
        <v>62</v>
      </c>
      <c r="C33" s="11" t="s">
        <v>183</v>
      </c>
      <c r="D33" s="1" t="s">
        <v>90</v>
      </c>
      <c r="E33" s="2" t="s">
        <v>63</v>
      </c>
      <c r="F33" s="1">
        <v>0.0</v>
      </c>
      <c r="G33" s="1" t="s">
        <v>43</v>
      </c>
    </row>
    <row r="34">
      <c r="A34" s="1">
        <v>33.0</v>
      </c>
      <c r="B34" s="13" t="s">
        <v>189</v>
      </c>
      <c r="C34" s="11" t="s">
        <v>183</v>
      </c>
      <c r="D34" s="1" t="s">
        <v>169</v>
      </c>
      <c r="E34" s="2" t="s">
        <v>190</v>
      </c>
      <c r="F34" s="1">
        <v>0.0</v>
      </c>
      <c r="G34" s="1" t="s">
        <v>43</v>
      </c>
    </row>
    <row r="35">
      <c r="A35" s="1">
        <v>34.0</v>
      </c>
      <c r="B35" s="13" t="s">
        <v>191</v>
      </c>
      <c r="C35" s="11" t="s">
        <v>183</v>
      </c>
      <c r="D35" s="1" t="s">
        <v>28</v>
      </c>
      <c r="E35" s="2" t="s">
        <v>192</v>
      </c>
      <c r="F35" s="1">
        <v>0.0</v>
      </c>
      <c r="G35" s="1" t="s">
        <v>43</v>
      </c>
    </row>
    <row r="36">
      <c r="A36" s="1">
        <v>35.0</v>
      </c>
      <c r="B36" s="13" t="s">
        <v>195</v>
      </c>
      <c r="C36" s="11" t="s">
        <v>183</v>
      </c>
      <c r="D36" s="1" t="s">
        <v>28</v>
      </c>
      <c r="E36" s="2" t="s">
        <v>196</v>
      </c>
      <c r="F36" s="1">
        <v>0.0</v>
      </c>
      <c r="G36" s="1" t="s">
        <v>43</v>
      </c>
    </row>
    <row r="37">
      <c r="A37" s="1">
        <v>36.0</v>
      </c>
      <c r="B37" s="13" t="s">
        <v>199</v>
      </c>
      <c r="C37" s="11" t="s">
        <v>183</v>
      </c>
      <c r="D37" s="1" t="s">
        <v>200</v>
      </c>
      <c r="E37" s="4" t="s">
        <v>201</v>
      </c>
      <c r="F37" s="1">
        <v>0.0</v>
      </c>
      <c r="G37" s="1" t="s">
        <v>43</v>
      </c>
    </row>
    <row r="38">
      <c r="A38" s="1">
        <v>37.0</v>
      </c>
      <c r="B38" s="1" t="s">
        <v>202</v>
      </c>
      <c r="C38" s="11" t="s">
        <v>183</v>
      </c>
      <c r="D38" s="1" t="s">
        <v>139</v>
      </c>
      <c r="E38" s="4" t="s">
        <v>203</v>
      </c>
      <c r="F38" s="1">
        <v>0.0</v>
      </c>
      <c r="G38" s="1" t="s">
        <v>43</v>
      </c>
    </row>
    <row r="39">
      <c r="A39" s="1">
        <v>38.0</v>
      </c>
      <c r="B39" s="1" t="s">
        <v>206</v>
      </c>
      <c r="C39" s="11" t="s">
        <v>183</v>
      </c>
      <c r="D39" s="1" t="s">
        <v>59</v>
      </c>
      <c r="E39" s="2" t="s">
        <v>207</v>
      </c>
      <c r="F39" s="1">
        <v>0.0</v>
      </c>
      <c r="G39" s="1" t="s">
        <v>43</v>
      </c>
    </row>
    <row r="40">
      <c r="A40" s="1">
        <v>39.0</v>
      </c>
      <c r="B40" s="1" t="s">
        <v>165</v>
      </c>
      <c r="C40" s="1" t="s">
        <v>94</v>
      </c>
      <c r="D40" s="1" t="s">
        <v>90</v>
      </c>
      <c r="E40" s="2" t="s">
        <v>167</v>
      </c>
      <c r="F40" s="1">
        <v>0.0</v>
      </c>
      <c r="G40" s="1" t="s">
        <v>43</v>
      </c>
    </row>
    <row r="41">
      <c r="A41" s="1">
        <v>40.0</v>
      </c>
      <c r="B41" s="1" t="s">
        <v>208</v>
      </c>
      <c r="C41" s="1" t="s">
        <v>94</v>
      </c>
      <c r="D41" s="1" t="s">
        <v>59</v>
      </c>
      <c r="E41" s="2" t="s">
        <v>210</v>
      </c>
      <c r="F41" s="1">
        <v>0.0</v>
      </c>
      <c r="G41" s="1" t="s">
        <v>43</v>
      </c>
    </row>
    <row r="42">
      <c r="A42" s="1">
        <v>41.0</v>
      </c>
      <c r="B42" s="13" t="s">
        <v>211</v>
      </c>
      <c r="C42" s="1" t="s">
        <v>94</v>
      </c>
      <c r="D42" s="1" t="s">
        <v>28</v>
      </c>
      <c r="E42" s="2" t="s">
        <v>212</v>
      </c>
      <c r="F42" s="1">
        <v>0.0</v>
      </c>
      <c r="G42" s="1" t="s">
        <v>43</v>
      </c>
    </row>
    <row r="43">
      <c r="A43" s="1">
        <v>42.0</v>
      </c>
      <c r="B43" s="11" t="s">
        <v>213</v>
      </c>
      <c r="C43" s="1" t="s">
        <v>94</v>
      </c>
      <c r="D43" s="1" t="s">
        <v>139</v>
      </c>
      <c r="E43" s="2" t="s">
        <v>214</v>
      </c>
      <c r="F43" s="1">
        <v>0.0</v>
      </c>
      <c r="G43" s="1" t="s">
        <v>43</v>
      </c>
    </row>
    <row r="44">
      <c r="A44" s="1">
        <v>43.0</v>
      </c>
      <c r="B44" s="1" t="s">
        <v>215</v>
      </c>
      <c r="C44" s="1" t="s">
        <v>94</v>
      </c>
      <c r="D44" s="1" t="s">
        <v>90</v>
      </c>
      <c r="E44" s="2" t="s">
        <v>216</v>
      </c>
      <c r="F44" s="1">
        <v>0.0</v>
      </c>
      <c r="G44" s="1" t="s">
        <v>43</v>
      </c>
    </row>
    <row r="45">
      <c r="A45" s="1">
        <v>44.0</v>
      </c>
      <c r="B45" s="1" t="s">
        <v>217</v>
      </c>
      <c r="C45" s="1" t="s">
        <v>94</v>
      </c>
      <c r="D45" s="1" t="s">
        <v>59</v>
      </c>
      <c r="E45" s="2" t="s">
        <v>218</v>
      </c>
      <c r="F45" s="1">
        <v>0.0</v>
      </c>
      <c r="G45" s="1" t="s">
        <v>43</v>
      </c>
    </row>
    <row r="46">
      <c r="A46" s="1">
        <v>45.0</v>
      </c>
      <c r="B46" s="1" t="s">
        <v>161</v>
      </c>
      <c r="C46" s="1" t="s">
        <v>219</v>
      </c>
      <c r="D46" s="1" t="s">
        <v>59</v>
      </c>
      <c r="E46" s="2" t="s">
        <v>162</v>
      </c>
      <c r="F46" s="1">
        <v>0.0</v>
      </c>
      <c r="G46" s="1" t="s">
        <v>43</v>
      </c>
    </row>
    <row r="47">
      <c r="A47" s="1">
        <v>46.0</v>
      </c>
      <c r="B47" s="1" t="s">
        <v>204</v>
      </c>
      <c r="C47" s="1" t="s">
        <v>219</v>
      </c>
      <c r="D47" s="1" t="s">
        <v>139</v>
      </c>
      <c r="E47" s="2" t="s">
        <v>205</v>
      </c>
      <c r="F47" s="1">
        <v>0.0</v>
      </c>
      <c r="G47" s="1" t="s">
        <v>43</v>
      </c>
    </row>
    <row r="48">
      <c r="A48" s="1">
        <v>47.0</v>
      </c>
      <c r="B48" s="1" t="s">
        <v>221</v>
      </c>
      <c r="C48" s="1" t="s">
        <v>219</v>
      </c>
      <c r="D48" s="1" t="s">
        <v>139</v>
      </c>
      <c r="E48" s="2" t="s">
        <v>222</v>
      </c>
      <c r="F48" s="1">
        <v>0.0</v>
      </c>
      <c r="G48" s="1" t="s">
        <v>43</v>
      </c>
    </row>
    <row r="49">
      <c r="A49" s="1">
        <v>48.0</v>
      </c>
      <c r="B49" s="1" t="s">
        <v>223</v>
      </c>
      <c r="C49" s="1" t="s">
        <v>219</v>
      </c>
      <c r="D49" s="1" t="s">
        <v>59</v>
      </c>
      <c r="E49" s="2" t="s">
        <v>224</v>
      </c>
      <c r="F49" s="1">
        <v>0.0</v>
      </c>
      <c r="G49" s="1" t="s">
        <v>43</v>
      </c>
    </row>
    <row r="50">
      <c r="A50" s="1">
        <v>49.0</v>
      </c>
      <c r="B50" s="1" t="s">
        <v>225</v>
      </c>
      <c r="C50" s="1" t="s">
        <v>219</v>
      </c>
      <c r="D50" s="1" t="s">
        <v>59</v>
      </c>
      <c r="E50" s="2" t="s">
        <v>226</v>
      </c>
      <c r="F50" s="1">
        <v>0.0</v>
      </c>
      <c r="G50" s="1" t="s">
        <v>43</v>
      </c>
    </row>
    <row r="51">
      <c r="A51" s="1">
        <v>50.0</v>
      </c>
      <c r="B51" s="1" t="s">
        <v>97</v>
      </c>
      <c r="C51" s="1" t="s">
        <v>229</v>
      </c>
      <c r="D51" s="1" t="s">
        <v>101</v>
      </c>
      <c r="E51" s="2" t="s">
        <v>98</v>
      </c>
      <c r="F51" s="1">
        <v>0.0</v>
      </c>
      <c r="G51" s="1" t="s">
        <v>43</v>
      </c>
    </row>
    <row r="52">
      <c r="A52" s="1">
        <v>51.0</v>
      </c>
      <c r="B52" s="1" t="s">
        <v>136</v>
      </c>
      <c r="C52" s="1" t="s">
        <v>229</v>
      </c>
      <c r="D52" s="1" t="s">
        <v>101</v>
      </c>
      <c r="E52" s="2" t="s">
        <v>137</v>
      </c>
      <c r="F52" s="1">
        <v>0.0</v>
      </c>
      <c r="G52" s="1" t="s">
        <v>43</v>
      </c>
    </row>
    <row r="53">
      <c r="A53" s="1">
        <v>52.0</v>
      </c>
      <c r="B53" s="1" t="s">
        <v>114</v>
      </c>
      <c r="C53" s="1" t="s">
        <v>230</v>
      </c>
      <c r="D53" s="1" t="s">
        <v>101</v>
      </c>
      <c r="E53" s="2" t="s">
        <v>115</v>
      </c>
      <c r="F53" s="1">
        <v>0.0</v>
      </c>
      <c r="G53" s="1" t="s">
        <v>43</v>
      </c>
    </row>
    <row r="54">
      <c r="A54" s="1">
        <v>53.0</v>
      </c>
      <c r="B54" s="1" t="s">
        <v>142</v>
      </c>
      <c r="C54" s="1" t="s">
        <v>230</v>
      </c>
      <c r="D54" s="1" t="s">
        <v>101</v>
      </c>
      <c r="E54" s="2" t="s">
        <v>143</v>
      </c>
      <c r="F54" s="1">
        <v>0.0</v>
      </c>
      <c r="G54" s="1" t="s">
        <v>43</v>
      </c>
    </row>
    <row r="55">
      <c r="A55" s="1">
        <v>54.0</v>
      </c>
      <c r="B55" s="1" t="s">
        <v>147</v>
      </c>
      <c r="C55" s="1" t="s">
        <v>232</v>
      </c>
      <c r="D55" s="1" t="s">
        <v>233</v>
      </c>
      <c r="E55" s="2" t="s">
        <v>148</v>
      </c>
      <c r="F55" s="1">
        <v>0.0</v>
      </c>
      <c r="G55" s="1" t="s">
        <v>43</v>
      </c>
    </row>
    <row r="56">
      <c r="A56" s="1">
        <v>55.0</v>
      </c>
      <c r="B56" s="1" t="s">
        <v>234</v>
      </c>
      <c r="C56" s="1" t="s">
        <v>235</v>
      </c>
      <c r="D56" s="1" t="s">
        <v>200</v>
      </c>
      <c r="E56" s="2" t="s">
        <v>158</v>
      </c>
      <c r="F56" s="1">
        <v>0.0</v>
      </c>
      <c r="G56" s="1" t="s">
        <v>43</v>
      </c>
    </row>
    <row r="57">
      <c r="A57" s="1">
        <v>56.0</v>
      </c>
      <c r="B57" s="1" t="s">
        <v>175</v>
      </c>
      <c r="C57" s="1" t="s">
        <v>238</v>
      </c>
      <c r="D57" s="1" t="s">
        <v>28</v>
      </c>
      <c r="E57" s="2" t="s">
        <v>176</v>
      </c>
      <c r="F57" s="1">
        <v>0.0</v>
      </c>
      <c r="G57" s="1" t="s">
        <v>43</v>
      </c>
    </row>
    <row r="58">
      <c r="A58" s="1">
        <v>57.0</v>
      </c>
      <c r="B58" s="1" t="s">
        <v>239</v>
      </c>
      <c r="C58" s="1" t="s">
        <v>238</v>
      </c>
      <c r="D58" s="1" t="s">
        <v>112</v>
      </c>
      <c r="E58" s="2" t="s">
        <v>240</v>
      </c>
      <c r="F58" s="1">
        <v>0.0</v>
      </c>
      <c r="G58" s="1" t="s">
        <v>43</v>
      </c>
    </row>
    <row r="59">
      <c r="A59" s="1">
        <v>58.0</v>
      </c>
      <c r="B59" s="13" t="s">
        <v>242</v>
      </c>
      <c r="C59" s="1" t="s">
        <v>238</v>
      </c>
      <c r="D59" s="1" t="s">
        <v>139</v>
      </c>
      <c r="E59" s="2" t="s">
        <v>243</v>
      </c>
      <c r="F59" s="1">
        <v>0.0</v>
      </c>
      <c r="G59" s="1" t="s">
        <v>43</v>
      </c>
    </row>
    <row r="60">
      <c r="A60" s="1">
        <v>59.0</v>
      </c>
      <c r="B60" s="13" t="s">
        <v>244</v>
      </c>
      <c r="C60" s="1" t="s">
        <v>238</v>
      </c>
      <c r="D60" s="1" t="s">
        <v>139</v>
      </c>
      <c r="E60" s="2" t="s">
        <v>245</v>
      </c>
      <c r="F60" s="1">
        <v>0.0</v>
      </c>
      <c r="G60" s="1" t="s">
        <v>43</v>
      </c>
    </row>
    <row r="61">
      <c r="A61" s="1">
        <v>60.0</v>
      </c>
      <c r="B61" s="1" t="s">
        <v>246</v>
      </c>
      <c r="C61" s="1" t="s">
        <v>238</v>
      </c>
      <c r="D61" s="1" t="s">
        <v>59</v>
      </c>
      <c r="E61" s="4" t="s">
        <v>247</v>
      </c>
      <c r="F61" s="1">
        <v>0.0</v>
      </c>
      <c r="G61" s="1" t="s">
        <v>43</v>
      </c>
    </row>
    <row r="62">
      <c r="A62" s="1">
        <v>61.0</v>
      </c>
      <c r="B62" s="1" t="s">
        <v>252</v>
      </c>
      <c r="C62" s="1" t="s">
        <v>238</v>
      </c>
      <c r="D62" s="1" t="s">
        <v>28</v>
      </c>
      <c r="E62" s="2" t="s">
        <v>253</v>
      </c>
      <c r="F62" s="1">
        <v>0.0</v>
      </c>
      <c r="G62" s="1" t="s">
        <v>43</v>
      </c>
    </row>
    <row r="63">
      <c r="A63" s="1">
        <v>62.0</v>
      </c>
      <c r="B63" s="1" t="s">
        <v>181</v>
      </c>
      <c r="C63" s="1" t="s">
        <v>256</v>
      </c>
      <c r="D63" s="1" t="s">
        <v>28</v>
      </c>
      <c r="E63" s="2" t="s">
        <v>182</v>
      </c>
      <c r="F63" s="1">
        <v>0.0</v>
      </c>
      <c r="G63" s="1" t="s">
        <v>43</v>
      </c>
    </row>
    <row r="64">
      <c r="A64" s="1">
        <v>63.0</v>
      </c>
      <c r="B64" s="1" t="s">
        <v>259</v>
      </c>
      <c r="C64" s="1" t="s">
        <v>260</v>
      </c>
      <c r="D64" s="1" t="s">
        <v>59</v>
      </c>
      <c r="E64" s="2" t="s">
        <v>261</v>
      </c>
      <c r="F64" s="1">
        <v>0.0</v>
      </c>
      <c r="G64" s="1" t="s">
        <v>43</v>
      </c>
    </row>
    <row r="65">
      <c r="A65" s="1">
        <v>64.0</v>
      </c>
      <c r="B65" s="1" t="s">
        <v>265</v>
      </c>
      <c r="C65" s="1" t="s">
        <v>260</v>
      </c>
      <c r="D65" s="1" t="s">
        <v>59</v>
      </c>
      <c r="E65" s="2" t="s">
        <v>267</v>
      </c>
      <c r="F65" s="1">
        <v>0.0</v>
      </c>
      <c r="G65" s="1" t="s">
        <v>43</v>
      </c>
    </row>
    <row r="66">
      <c r="A66" s="1">
        <v>65.0</v>
      </c>
      <c r="B66" s="1" t="s">
        <v>231</v>
      </c>
      <c r="C66" s="1" t="s">
        <v>270</v>
      </c>
      <c r="D66" s="1" t="s">
        <v>90</v>
      </c>
      <c r="E66" s="2" t="s">
        <v>188</v>
      </c>
      <c r="F66" s="1">
        <v>0.0</v>
      </c>
      <c r="G66" s="1" t="s">
        <v>43</v>
      </c>
    </row>
    <row r="67">
      <c r="A67" s="1">
        <v>66.0</v>
      </c>
      <c r="B67" s="1" t="s">
        <v>272</v>
      </c>
      <c r="C67" s="1" t="s">
        <v>270</v>
      </c>
      <c r="D67" s="1" t="s">
        <v>59</v>
      </c>
      <c r="E67" s="2" t="s">
        <v>273</v>
      </c>
      <c r="F67" s="1">
        <v>0.0</v>
      </c>
      <c r="G67" s="1" t="s">
        <v>43</v>
      </c>
    </row>
    <row r="68">
      <c r="A68" s="1">
        <v>67.0</v>
      </c>
      <c r="B68" s="1" t="s">
        <v>274</v>
      </c>
      <c r="C68" s="1" t="s">
        <v>275</v>
      </c>
      <c r="D68" s="1" t="s">
        <v>200</v>
      </c>
      <c r="E68" s="2" t="s">
        <v>276</v>
      </c>
      <c r="F68" s="1">
        <v>0.0</v>
      </c>
      <c r="G68" s="1" t="s">
        <v>43</v>
      </c>
    </row>
    <row r="69">
      <c r="A69" s="1">
        <v>68.0</v>
      </c>
      <c r="B69" s="1" t="s">
        <v>185</v>
      </c>
      <c r="C69" s="1" t="s">
        <v>275</v>
      </c>
      <c r="D69" s="1" t="s">
        <v>233</v>
      </c>
      <c r="E69" s="2" t="s">
        <v>186</v>
      </c>
      <c r="F69" s="1">
        <v>0.0</v>
      </c>
      <c r="G69" s="1" t="s">
        <v>43</v>
      </c>
    </row>
    <row r="70">
      <c r="A70" s="1">
        <v>69.0</v>
      </c>
      <c r="B70" s="1" t="s">
        <v>197</v>
      </c>
      <c r="C70" s="1" t="s">
        <v>281</v>
      </c>
      <c r="D70" s="1" t="s">
        <v>59</v>
      </c>
      <c r="E70" s="2" t="s">
        <v>198</v>
      </c>
      <c r="F70" s="1">
        <v>0.0</v>
      </c>
      <c r="G70" s="1" t="s">
        <v>43</v>
      </c>
    </row>
    <row r="71">
      <c r="A71" s="1">
        <v>70.0</v>
      </c>
      <c r="B71" s="1" t="s">
        <v>282</v>
      </c>
      <c r="C71" s="1" t="s">
        <v>281</v>
      </c>
      <c r="D71" s="1" t="s">
        <v>59</v>
      </c>
      <c r="E71" s="2" t="s">
        <v>283</v>
      </c>
      <c r="F71" s="1">
        <v>0.0</v>
      </c>
      <c r="G71" s="1" t="s">
        <v>43</v>
      </c>
    </row>
    <row r="72">
      <c r="A72" s="1">
        <v>71.0</v>
      </c>
      <c r="B72" s="1" t="s">
        <v>288</v>
      </c>
      <c r="C72" s="1" t="s">
        <v>281</v>
      </c>
      <c r="D72" s="1" t="s">
        <v>59</v>
      </c>
      <c r="E72" s="2" t="s">
        <v>290</v>
      </c>
      <c r="F72" s="1">
        <v>0.0</v>
      </c>
      <c r="G72" s="1" t="s">
        <v>43</v>
      </c>
    </row>
    <row r="73">
      <c r="A73" s="1">
        <v>72.0</v>
      </c>
      <c r="B73" s="1" t="s">
        <v>291</v>
      </c>
      <c r="C73" s="1" t="s">
        <v>281</v>
      </c>
      <c r="D73" s="1" t="s">
        <v>59</v>
      </c>
      <c r="E73" s="2" t="s">
        <v>292</v>
      </c>
      <c r="F73" s="1">
        <v>0.0</v>
      </c>
      <c r="G73" s="1" t="s">
        <v>43</v>
      </c>
    </row>
    <row r="74">
      <c r="A74" s="1">
        <v>73.0</v>
      </c>
      <c r="B74" s="1" t="s">
        <v>295</v>
      </c>
      <c r="C74" s="1" t="s">
        <v>296</v>
      </c>
      <c r="D74" s="1" t="s">
        <v>59</v>
      </c>
      <c r="E74" s="2" t="s">
        <v>297</v>
      </c>
      <c r="F74" s="1">
        <v>0.0</v>
      </c>
      <c r="G74" s="1" t="s">
        <v>43</v>
      </c>
    </row>
    <row r="75">
      <c r="A75" s="1">
        <v>74.0</v>
      </c>
      <c r="B75" s="13" t="s">
        <v>298</v>
      </c>
      <c r="C75" s="1" t="s">
        <v>281</v>
      </c>
      <c r="D75" s="1" t="s">
        <v>59</v>
      </c>
      <c r="E75" s="2" t="s">
        <v>299</v>
      </c>
      <c r="F75" s="1">
        <v>0.0</v>
      </c>
      <c r="G75" s="1" t="s">
        <v>43</v>
      </c>
    </row>
    <row r="76">
      <c r="A76" s="1">
        <v>75.0</v>
      </c>
      <c r="B76" s="11" t="s">
        <v>302</v>
      </c>
      <c r="C76" s="1" t="s">
        <v>281</v>
      </c>
      <c r="D76" s="1" t="s">
        <v>59</v>
      </c>
      <c r="E76" s="2" t="s">
        <v>303</v>
      </c>
      <c r="F76" s="1">
        <v>0.0</v>
      </c>
      <c r="G76" s="1" t="s">
        <v>43</v>
      </c>
    </row>
    <row r="77">
      <c r="A77" s="1">
        <v>76.0</v>
      </c>
      <c r="B77" s="13" t="s">
        <v>306</v>
      </c>
      <c r="C77" s="1" t="s">
        <v>281</v>
      </c>
      <c r="D77" s="1" t="s">
        <v>59</v>
      </c>
      <c r="E77" s="2" t="s">
        <v>307</v>
      </c>
      <c r="F77" s="1">
        <v>0.0</v>
      </c>
      <c r="G77" s="1" t="s">
        <v>43</v>
      </c>
    </row>
    <row r="78">
      <c r="A78" s="1">
        <v>77.0</v>
      </c>
      <c r="B78" s="1" t="s">
        <v>308</v>
      </c>
      <c r="C78" s="1" t="s">
        <v>309</v>
      </c>
      <c r="D78" s="1" t="s">
        <v>59</v>
      </c>
      <c r="E78" s="2" t="s">
        <v>310</v>
      </c>
      <c r="F78" s="1">
        <v>0.0</v>
      </c>
      <c r="G78" s="1" t="s">
        <v>43</v>
      </c>
    </row>
    <row r="79">
      <c r="A79" s="1">
        <v>78.0</v>
      </c>
      <c r="B79" s="1" t="s">
        <v>314</v>
      </c>
      <c r="C79" s="1" t="s">
        <v>315</v>
      </c>
      <c r="D79" s="1" t="s">
        <v>59</v>
      </c>
      <c r="E79" s="2" t="s">
        <v>316</v>
      </c>
      <c r="F79" s="1">
        <v>0.0</v>
      </c>
      <c r="G79" s="1" t="s">
        <v>43</v>
      </c>
    </row>
    <row r="80">
      <c r="A80" s="1">
        <v>79.0</v>
      </c>
      <c r="B80" s="1" t="s">
        <v>319</v>
      </c>
      <c r="C80" s="1" t="s">
        <v>315</v>
      </c>
      <c r="D80" s="1" t="s">
        <v>90</v>
      </c>
      <c r="E80" s="2" t="s">
        <v>320</v>
      </c>
      <c r="F80" s="1">
        <v>0.0</v>
      </c>
      <c r="G80" s="1" t="s">
        <v>43</v>
      </c>
    </row>
    <row r="81">
      <c r="A81" s="1">
        <v>80.0</v>
      </c>
      <c r="B81" s="1" t="s">
        <v>321</v>
      </c>
      <c r="C81" s="1" t="s">
        <v>322</v>
      </c>
      <c r="D81" s="1" t="s">
        <v>59</v>
      </c>
      <c r="E81" s="2" t="s">
        <v>323</v>
      </c>
      <c r="F81" s="1">
        <v>0.0</v>
      </c>
      <c r="G81" s="1" t="s">
        <v>43</v>
      </c>
    </row>
    <row r="82">
      <c r="A82" s="1">
        <v>81.0</v>
      </c>
      <c r="B82" s="1" t="s">
        <v>326</v>
      </c>
      <c r="C82" s="1" t="s">
        <v>322</v>
      </c>
      <c r="D82" s="1" t="s">
        <v>59</v>
      </c>
      <c r="E82" s="2" t="s">
        <v>327</v>
      </c>
      <c r="F82" s="1">
        <v>0.0</v>
      </c>
      <c r="G82" s="1" t="s">
        <v>43</v>
      </c>
    </row>
    <row r="83">
      <c r="A83" s="1">
        <v>82.0</v>
      </c>
      <c r="B83" s="13" t="s">
        <v>330</v>
      </c>
      <c r="C83" s="1" t="s">
        <v>322</v>
      </c>
      <c r="D83" s="1" t="s">
        <v>28</v>
      </c>
      <c r="E83" s="14" t="s">
        <v>331</v>
      </c>
      <c r="F83" s="1">
        <v>0.0</v>
      </c>
      <c r="G83" s="1" t="s">
        <v>43</v>
      </c>
    </row>
    <row r="84">
      <c r="A84" s="1">
        <v>83.0</v>
      </c>
      <c r="B84" s="13" t="s">
        <v>334</v>
      </c>
      <c r="C84" s="1" t="s">
        <v>322</v>
      </c>
      <c r="D84" s="1" t="s">
        <v>59</v>
      </c>
      <c r="E84" s="15" t="s">
        <v>335</v>
      </c>
      <c r="F84" s="1">
        <v>0.0</v>
      </c>
      <c r="G84" s="1" t="s">
        <v>43</v>
      </c>
    </row>
    <row r="85">
      <c r="A85" s="1">
        <v>84.0</v>
      </c>
      <c r="B85" s="1" t="s">
        <v>338</v>
      </c>
      <c r="C85" s="1" t="s">
        <v>339</v>
      </c>
      <c r="D85" s="1" t="s">
        <v>59</v>
      </c>
      <c r="E85" s="2" t="s">
        <v>341</v>
      </c>
      <c r="F85" s="1">
        <v>0.0</v>
      </c>
      <c r="G85" s="1" t="s">
        <v>43</v>
      </c>
    </row>
    <row r="86">
      <c r="A86" s="1">
        <v>85.0</v>
      </c>
      <c r="B86" s="1" t="s">
        <v>343</v>
      </c>
      <c r="C86" s="1" t="s">
        <v>344</v>
      </c>
      <c r="D86" s="1" t="s">
        <v>345</v>
      </c>
      <c r="E86" s="2" t="s">
        <v>346</v>
      </c>
      <c r="F86" s="1">
        <v>0.0</v>
      </c>
      <c r="G86" s="1" t="s">
        <v>43</v>
      </c>
    </row>
    <row r="87">
      <c r="A87" s="1">
        <v>86.0</v>
      </c>
      <c r="B87" s="1" t="s">
        <v>349</v>
      </c>
      <c r="C87" s="1" t="s">
        <v>350</v>
      </c>
      <c r="D87" s="1" t="s">
        <v>90</v>
      </c>
      <c r="E87" s="2" t="s">
        <v>351</v>
      </c>
      <c r="F87" s="1">
        <v>0.0</v>
      </c>
      <c r="G87" s="1" t="s">
        <v>43</v>
      </c>
    </row>
    <row r="88">
      <c r="A88" s="1">
        <v>87.0</v>
      </c>
      <c r="B88" s="1" t="s">
        <v>236</v>
      </c>
      <c r="C88" s="1" t="s">
        <v>352</v>
      </c>
      <c r="D88" s="1" t="s">
        <v>59</v>
      </c>
      <c r="E88" s="2" t="s">
        <v>237</v>
      </c>
      <c r="F88" s="1">
        <v>0.0</v>
      </c>
      <c r="G88" s="1" t="s">
        <v>43</v>
      </c>
    </row>
    <row r="89">
      <c r="A89" s="1">
        <v>88.0</v>
      </c>
      <c r="B89" s="1" t="s">
        <v>287</v>
      </c>
      <c r="C89" s="1" t="s">
        <v>355</v>
      </c>
      <c r="D89" s="1" t="s">
        <v>28</v>
      </c>
      <c r="E89" s="2" t="s">
        <v>356</v>
      </c>
      <c r="F89" s="1">
        <v>0.0</v>
      </c>
      <c r="G89" s="1" t="s">
        <v>43</v>
      </c>
    </row>
    <row r="90">
      <c r="A90" s="1">
        <v>89.0</v>
      </c>
      <c r="B90" s="1" t="s">
        <v>359</v>
      </c>
      <c r="C90" s="1" t="s">
        <v>360</v>
      </c>
      <c r="D90" s="1" t="s">
        <v>28</v>
      </c>
      <c r="E90" s="2" t="s">
        <v>361</v>
      </c>
      <c r="F90" s="1">
        <v>0.0</v>
      </c>
      <c r="G90" s="1" t="s">
        <v>43</v>
      </c>
    </row>
    <row r="91">
      <c r="A91" s="1">
        <v>90.0</v>
      </c>
      <c r="B91" s="1" t="s">
        <v>227</v>
      </c>
      <c r="C91" s="1" t="s">
        <v>363</v>
      </c>
      <c r="D91" s="1" t="s">
        <v>169</v>
      </c>
      <c r="E91" s="2" t="s">
        <v>228</v>
      </c>
      <c r="F91" s="1">
        <v>0.0</v>
      </c>
      <c r="G91" s="1" t="s">
        <v>43</v>
      </c>
    </row>
    <row r="92">
      <c r="A92" s="1">
        <v>91.0</v>
      </c>
      <c r="B92" s="1" t="s">
        <v>365</v>
      </c>
      <c r="C92" s="1" t="s">
        <v>363</v>
      </c>
      <c r="D92" s="1" t="s">
        <v>169</v>
      </c>
      <c r="E92" s="2" t="s">
        <v>366</v>
      </c>
      <c r="F92" s="1">
        <v>0.0</v>
      </c>
      <c r="G92" s="1" t="s">
        <v>43</v>
      </c>
    </row>
    <row r="93">
      <c r="A93" s="1">
        <v>92.0</v>
      </c>
      <c r="B93" s="13" t="s">
        <v>369</v>
      </c>
      <c r="C93" s="1" t="s">
        <v>370</v>
      </c>
      <c r="D93" s="1" t="s">
        <v>112</v>
      </c>
      <c r="E93" s="12" t="s">
        <v>371</v>
      </c>
      <c r="F93" s="1">
        <v>0.0</v>
      </c>
      <c r="G93" s="1" t="s">
        <v>43</v>
      </c>
    </row>
    <row r="94">
      <c r="A94" s="1">
        <v>93.0</v>
      </c>
      <c r="B94" s="13" t="s">
        <v>372</v>
      </c>
      <c r="C94" s="1" t="s">
        <v>370</v>
      </c>
      <c r="D94" s="1" t="s">
        <v>112</v>
      </c>
      <c r="E94" s="12" t="s">
        <v>373</v>
      </c>
      <c r="F94" s="1">
        <v>0.0</v>
      </c>
      <c r="G94" s="1" t="s">
        <v>43</v>
      </c>
    </row>
    <row r="95">
      <c r="A95" s="1">
        <v>94.0</v>
      </c>
      <c r="B95" s="13" t="s">
        <v>376</v>
      </c>
      <c r="C95" s="1" t="s">
        <v>370</v>
      </c>
      <c r="D95" s="1" t="s">
        <v>112</v>
      </c>
      <c r="E95" s="12" t="s">
        <v>377</v>
      </c>
      <c r="F95" s="1">
        <v>0.0</v>
      </c>
      <c r="G95" s="1" t="s">
        <v>43</v>
      </c>
    </row>
    <row r="96">
      <c r="A96" s="1">
        <v>95.0</v>
      </c>
      <c r="B96" s="1" t="s">
        <v>378</v>
      </c>
      <c r="C96" s="1" t="s">
        <v>379</v>
      </c>
      <c r="D96" s="1" t="s">
        <v>200</v>
      </c>
      <c r="E96" s="2" t="s">
        <v>381</v>
      </c>
      <c r="F96" s="1">
        <v>0.0</v>
      </c>
      <c r="G96" s="1" t="s">
        <v>43</v>
      </c>
    </row>
    <row r="97">
      <c r="A97" s="1">
        <v>96.0</v>
      </c>
      <c r="B97" s="1" t="s">
        <v>383</v>
      </c>
      <c r="C97" s="1" t="s">
        <v>384</v>
      </c>
      <c r="D97" s="1" t="s">
        <v>28</v>
      </c>
      <c r="E97" s="2" t="s">
        <v>385</v>
      </c>
      <c r="F97" s="1">
        <v>0.0</v>
      </c>
      <c r="G97" s="1" t="s">
        <v>43</v>
      </c>
    </row>
    <row r="98">
      <c r="A98" s="1">
        <v>97.0</v>
      </c>
      <c r="B98" s="1" t="s">
        <v>388</v>
      </c>
      <c r="C98" s="1" t="s">
        <v>389</v>
      </c>
      <c r="D98" s="1" t="s">
        <v>345</v>
      </c>
      <c r="E98" s="4" t="s">
        <v>249</v>
      </c>
      <c r="F98" s="1">
        <v>0.0</v>
      </c>
      <c r="G98" s="1" t="s">
        <v>43</v>
      </c>
    </row>
    <row r="99">
      <c r="A99" s="1">
        <v>98.0</v>
      </c>
      <c r="B99" s="1" t="s">
        <v>250</v>
      </c>
      <c r="C99" s="1" t="s">
        <v>389</v>
      </c>
      <c r="D99" s="1" t="s">
        <v>90</v>
      </c>
      <c r="E99" s="2" t="s">
        <v>251</v>
      </c>
      <c r="F99" s="1">
        <v>0.0</v>
      </c>
      <c r="G99" s="1" t="s">
        <v>43</v>
      </c>
    </row>
    <row r="100">
      <c r="A100" s="1">
        <v>99.0</v>
      </c>
      <c r="B100" s="1" t="s">
        <v>254</v>
      </c>
      <c r="C100" s="1" t="s">
        <v>389</v>
      </c>
      <c r="D100" s="1" t="s">
        <v>28</v>
      </c>
      <c r="E100" s="2" t="s">
        <v>255</v>
      </c>
      <c r="F100" s="1">
        <v>0.0</v>
      </c>
      <c r="G100" s="1" t="s">
        <v>43</v>
      </c>
    </row>
    <row r="101">
      <c r="A101" s="1">
        <v>100.0</v>
      </c>
      <c r="B101" s="1" t="s">
        <v>396</v>
      </c>
      <c r="C101" s="1" t="s">
        <v>389</v>
      </c>
      <c r="D101" s="1" t="s">
        <v>233</v>
      </c>
      <c r="E101" s="2" t="s">
        <v>397</v>
      </c>
      <c r="F101" s="1">
        <v>0.0</v>
      </c>
      <c r="G101" s="1" t="s">
        <v>43</v>
      </c>
    </row>
    <row r="102">
      <c r="A102" s="1">
        <v>101.0</v>
      </c>
      <c r="B102" s="1" t="s">
        <v>400</v>
      </c>
      <c r="C102" s="1" t="s">
        <v>401</v>
      </c>
      <c r="D102" s="1" t="s">
        <v>112</v>
      </c>
      <c r="E102" s="2" t="s">
        <v>402</v>
      </c>
      <c r="F102" s="1">
        <v>0.0</v>
      </c>
      <c r="G102" s="1" t="s">
        <v>43</v>
      </c>
    </row>
    <row r="103">
      <c r="A103" s="1">
        <v>102.0</v>
      </c>
      <c r="B103" s="13" t="s">
        <v>304</v>
      </c>
      <c r="C103" s="1" t="s">
        <v>403</v>
      </c>
      <c r="D103" s="1" t="s">
        <v>90</v>
      </c>
      <c r="E103" s="12" t="s">
        <v>405</v>
      </c>
      <c r="F103" s="1">
        <v>0.0</v>
      </c>
      <c r="G103" s="1" t="s">
        <v>43</v>
      </c>
    </row>
    <row r="104">
      <c r="A104" s="1">
        <v>103.0</v>
      </c>
      <c r="B104" s="13" t="s">
        <v>312</v>
      </c>
      <c r="C104" s="1" t="s">
        <v>406</v>
      </c>
      <c r="D104" s="1" t="s">
        <v>101</v>
      </c>
      <c r="E104" s="12" t="s">
        <v>313</v>
      </c>
      <c r="F104" s="1">
        <v>0.0</v>
      </c>
      <c r="G104" s="1" t="s">
        <v>43</v>
      </c>
    </row>
    <row r="105">
      <c r="A105" s="1">
        <v>104.0</v>
      </c>
      <c r="B105" s="13" t="s">
        <v>317</v>
      </c>
      <c r="C105" s="1" t="s">
        <v>410</v>
      </c>
      <c r="D105" s="1" t="s">
        <v>101</v>
      </c>
      <c r="E105" s="12" t="s">
        <v>318</v>
      </c>
      <c r="F105" s="1">
        <v>0.0</v>
      </c>
      <c r="G105" s="1" t="s">
        <v>43</v>
      </c>
    </row>
    <row r="106">
      <c r="A106" s="1">
        <v>105.0</v>
      </c>
      <c r="B106" s="13" t="s">
        <v>324</v>
      </c>
      <c r="C106" s="1" t="s">
        <v>411</v>
      </c>
      <c r="D106" s="1" t="s">
        <v>101</v>
      </c>
      <c r="E106" s="12" t="s">
        <v>325</v>
      </c>
      <c r="F106" s="1">
        <v>0.0</v>
      </c>
      <c r="G106" s="1" t="s">
        <v>43</v>
      </c>
    </row>
    <row r="107">
      <c r="A107" s="1">
        <v>106.0</v>
      </c>
      <c r="B107" s="13" t="s">
        <v>328</v>
      </c>
      <c r="C107" s="1" t="s">
        <v>412</v>
      </c>
      <c r="D107" s="1" t="s">
        <v>101</v>
      </c>
      <c r="E107" s="12" t="s">
        <v>329</v>
      </c>
      <c r="F107" s="1">
        <v>0.0</v>
      </c>
      <c r="G107" s="1" t="s">
        <v>43</v>
      </c>
    </row>
    <row r="108">
      <c r="A108" s="1">
        <v>107.0</v>
      </c>
      <c r="B108" s="13" t="s">
        <v>332</v>
      </c>
      <c r="C108" s="1" t="s">
        <v>417</v>
      </c>
      <c r="D108" s="1" t="s">
        <v>418</v>
      </c>
      <c r="E108" s="12" t="s">
        <v>333</v>
      </c>
      <c r="F108" s="1">
        <v>0.0</v>
      </c>
      <c r="G108" s="1" t="s">
        <v>43</v>
      </c>
      <c r="I108" s="13"/>
      <c r="J108" s="13"/>
      <c r="K108" s="13"/>
    </row>
    <row r="109">
      <c r="A109" s="1">
        <v>108.0</v>
      </c>
      <c r="B109" s="13" t="s">
        <v>336</v>
      </c>
      <c r="C109" s="1" t="s">
        <v>421</v>
      </c>
      <c r="D109" s="1" t="s">
        <v>418</v>
      </c>
      <c r="E109" s="12" t="s">
        <v>337</v>
      </c>
      <c r="F109" s="1">
        <v>0.0</v>
      </c>
      <c r="G109" s="1" t="s">
        <v>43</v>
      </c>
      <c r="I109" s="13"/>
      <c r="J109" s="13"/>
      <c r="K109" s="13"/>
    </row>
    <row r="110">
      <c r="A110" s="1">
        <v>109.0</v>
      </c>
      <c r="B110" s="13" t="s">
        <v>340</v>
      </c>
      <c r="C110" s="1" t="s">
        <v>417</v>
      </c>
      <c r="D110" s="1" t="s">
        <v>418</v>
      </c>
      <c r="E110" s="12" t="s">
        <v>342</v>
      </c>
      <c r="F110" s="1">
        <v>0.0</v>
      </c>
      <c r="G110" s="1" t="s">
        <v>43</v>
      </c>
      <c r="I110" s="13"/>
      <c r="J110" s="13"/>
      <c r="K110" s="13"/>
    </row>
    <row r="111">
      <c r="A111" s="1">
        <v>110.0</v>
      </c>
      <c r="B111" s="13" t="s">
        <v>347</v>
      </c>
      <c r="C111" s="1" t="s">
        <v>425</v>
      </c>
      <c r="D111" s="1" t="s">
        <v>200</v>
      </c>
      <c r="E111" s="12" t="s">
        <v>348</v>
      </c>
      <c r="F111" s="1">
        <v>0.0</v>
      </c>
      <c r="G111" s="1" t="s">
        <v>43</v>
      </c>
      <c r="I111" s="13"/>
      <c r="J111" s="13"/>
      <c r="K111" s="13"/>
    </row>
    <row r="112">
      <c r="A112" s="1">
        <v>111.0</v>
      </c>
      <c r="B112" s="13" t="s">
        <v>353</v>
      </c>
      <c r="C112" s="1" t="s">
        <v>427</v>
      </c>
      <c r="D112" s="1" t="s">
        <v>169</v>
      </c>
      <c r="E112" s="12" t="s">
        <v>354</v>
      </c>
      <c r="F112" s="1">
        <v>0.0</v>
      </c>
      <c r="G112" s="1" t="s">
        <v>43</v>
      </c>
      <c r="I112" s="13"/>
      <c r="J112" s="13"/>
      <c r="K112" s="13"/>
    </row>
    <row r="113">
      <c r="A113" s="1">
        <v>112.0</v>
      </c>
      <c r="B113" s="13" t="s">
        <v>357</v>
      </c>
      <c r="C113" s="1" t="s">
        <v>428</v>
      </c>
      <c r="D113" s="1" t="s">
        <v>169</v>
      </c>
      <c r="E113" s="12" t="s">
        <v>358</v>
      </c>
      <c r="F113" s="1">
        <v>0.0</v>
      </c>
      <c r="G113" s="1" t="s">
        <v>43</v>
      </c>
      <c r="I113" s="13"/>
      <c r="J113" s="13"/>
      <c r="K113" s="13"/>
    </row>
    <row r="114">
      <c r="A114" s="1">
        <v>113.0</v>
      </c>
      <c r="B114" s="13" t="s">
        <v>362</v>
      </c>
      <c r="C114" s="1" t="s">
        <v>429</v>
      </c>
      <c r="D114" s="1" t="s">
        <v>169</v>
      </c>
      <c r="E114" s="12" t="s">
        <v>364</v>
      </c>
      <c r="F114" s="1">
        <v>0.0</v>
      </c>
      <c r="G114" s="1" t="s">
        <v>43</v>
      </c>
      <c r="I114" s="13"/>
      <c r="J114" s="13"/>
      <c r="K114" s="13"/>
    </row>
    <row r="115">
      <c r="A115" s="1">
        <v>114.0</v>
      </c>
      <c r="B115" s="13" t="s">
        <v>367</v>
      </c>
      <c r="C115" s="1" t="s">
        <v>431</v>
      </c>
      <c r="D115" s="1" t="s">
        <v>169</v>
      </c>
      <c r="E115" s="12" t="s">
        <v>368</v>
      </c>
      <c r="F115" s="1">
        <v>0.0</v>
      </c>
      <c r="G115" s="1" t="s">
        <v>43</v>
      </c>
    </row>
    <row r="116">
      <c r="A116" s="1">
        <v>115.0</v>
      </c>
      <c r="B116" s="13" t="s">
        <v>374</v>
      </c>
      <c r="C116" s="1" t="s">
        <v>434</v>
      </c>
      <c r="D116" s="1" t="s">
        <v>169</v>
      </c>
      <c r="E116" s="12" t="s">
        <v>375</v>
      </c>
      <c r="F116" s="1">
        <v>0.0</v>
      </c>
      <c r="G116" s="1" t="s">
        <v>43</v>
      </c>
    </row>
    <row r="117">
      <c r="A117" s="1">
        <v>116.0</v>
      </c>
      <c r="B117" s="13" t="s">
        <v>380</v>
      </c>
      <c r="C117" s="1" t="s">
        <v>436</v>
      </c>
      <c r="D117" s="1" t="s">
        <v>90</v>
      </c>
      <c r="E117" s="12" t="s">
        <v>382</v>
      </c>
      <c r="F117" s="1">
        <v>0.0</v>
      </c>
      <c r="G117" s="1" t="s">
        <v>43</v>
      </c>
    </row>
    <row r="118">
      <c r="A118" s="1">
        <v>117.0</v>
      </c>
      <c r="B118" s="13" t="s">
        <v>386</v>
      </c>
      <c r="C118" s="1" t="s">
        <v>406</v>
      </c>
      <c r="D118" s="1" t="s">
        <v>90</v>
      </c>
      <c r="E118" s="12" t="s">
        <v>387</v>
      </c>
      <c r="F118" s="1">
        <v>0.0</v>
      </c>
      <c r="G118" s="1" t="s">
        <v>43</v>
      </c>
    </row>
    <row r="119">
      <c r="A119" s="1">
        <v>118.0</v>
      </c>
      <c r="B119" s="13" t="s">
        <v>390</v>
      </c>
      <c r="C119" s="1" t="s">
        <v>440</v>
      </c>
      <c r="D119" s="1" t="s">
        <v>90</v>
      </c>
      <c r="E119" s="12" t="s">
        <v>391</v>
      </c>
      <c r="F119" s="1">
        <v>0.0</v>
      </c>
      <c r="G119" s="1" t="s">
        <v>43</v>
      </c>
    </row>
    <row r="120">
      <c r="A120" s="1">
        <v>119.0</v>
      </c>
      <c r="B120" s="13" t="s">
        <v>392</v>
      </c>
      <c r="C120" s="1" t="s">
        <v>421</v>
      </c>
      <c r="D120" s="1" t="s">
        <v>112</v>
      </c>
      <c r="E120" s="12" t="s">
        <v>393</v>
      </c>
      <c r="F120" s="1">
        <v>0.0</v>
      </c>
      <c r="G120" s="1" t="s">
        <v>43</v>
      </c>
    </row>
    <row r="121">
      <c r="A121" s="1">
        <v>120.0</v>
      </c>
      <c r="B121" s="13" t="s">
        <v>394</v>
      </c>
      <c r="C121" s="1" t="s">
        <v>417</v>
      </c>
      <c r="D121" s="1" t="s">
        <v>28</v>
      </c>
      <c r="E121" s="12" t="s">
        <v>395</v>
      </c>
      <c r="F121" s="1">
        <v>0.0</v>
      </c>
      <c r="G121" s="1" t="s">
        <v>43</v>
      </c>
    </row>
    <row r="122">
      <c r="A122" s="1">
        <v>121.0</v>
      </c>
      <c r="B122" s="13" t="s">
        <v>398</v>
      </c>
      <c r="C122" s="1" t="s">
        <v>445</v>
      </c>
      <c r="D122" s="1" t="s">
        <v>28</v>
      </c>
      <c r="E122" s="12" t="s">
        <v>399</v>
      </c>
      <c r="F122" s="1">
        <v>0.0</v>
      </c>
      <c r="G122" s="1" t="s">
        <v>43</v>
      </c>
    </row>
    <row r="123">
      <c r="A123" s="1">
        <v>122.0</v>
      </c>
      <c r="B123" s="1" t="s">
        <v>293</v>
      </c>
      <c r="C123" s="1" t="s">
        <v>293</v>
      </c>
      <c r="D123" s="1" t="s">
        <v>59</v>
      </c>
      <c r="E123" s="2" t="s">
        <v>447</v>
      </c>
      <c r="F123" s="1">
        <v>0.0</v>
      </c>
      <c r="G123" s="1" t="s">
        <v>43</v>
      </c>
    </row>
    <row r="124">
      <c r="A124" s="1">
        <v>123.0</v>
      </c>
      <c r="B124" s="1" t="s">
        <v>257</v>
      </c>
      <c r="C124" s="1" t="s">
        <v>450</v>
      </c>
      <c r="D124" s="1" t="s">
        <v>90</v>
      </c>
      <c r="E124" s="2" t="s">
        <v>258</v>
      </c>
      <c r="F124" s="1">
        <v>0.0</v>
      </c>
      <c r="G124" s="1" t="s">
        <v>43</v>
      </c>
    </row>
    <row r="125">
      <c r="A125" s="1">
        <v>124.0</v>
      </c>
      <c r="B125" s="1" t="s">
        <v>262</v>
      </c>
      <c r="C125" s="1" t="s">
        <v>451</v>
      </c>
      <c r="D125" s="1" t="s">
        <v>28</v>
      </c>
      <c r="E125" s="2" t="s">
        <v>263</v>
      </c>
      <c r="F125" s="1">
        <v>0.0</v>
      </c>
      <c r="G125" s="1" t="s">
        <v>43</v>
      </c>
    </row>
    <row r="126">
      <c r="A126" s="1">
        <v>125.0</v>
      </c>
      <c r="B126" s="13" t="s">
        <v>269</v>
      </c>
      <c r="C126" s="1" t="s">
        <v>453</v>
      </c>
      <c r="D126" s="1" t="s">
        <v>345</v>
      </c>
      <c r="E126" s="2" t="s">
        <v>271</v>
      </c>
      <c r="F126" s="1">
        <v>0.0</v>
      </c>
      <c r="G126" s="1" t="s">
        <v>43</v>
      </c>
    </row>
    <row r="127">
      <c r="A127" s="1">
        <v>126.0</v>
      </c>
      <c r="B127" s="13" t="s">
        <v>277</v>
      </c>
      <c r="C127" s="1" t="s">
        <v>456</v>
      </c>
      <c r="D127" s="1" t="s">
        <v>101</v>
      </c>
      <c r="E127" s="2" t="s">
        <v>278</v>
      </c>
      <c r="F127" s="1">
        <v>0.0</v>
      </c>
      <c r="G127" s="1" t="s">
        <v>43</v>
      </c>
    </row>
    <row r="128">
      <c r="A128" s="1">
        <v>127.0</v>
      </c>
      <c r="B128" s="13" t="s">
        <v>68</v>
      </c>
      <c r="C128" s="1" t="s">
        <v>183</v>
      </c>
      <c r="D128" s="1" t="s">
        <v>59</v>
      </c>
      <c r="E128" s="12" t="s">
        <v>69</v>
      </c>
      <c r="F128" s="1">
        <v>0.0</v>
      </c>
      <c r="G128" s="1" t="s">
        <v>43</v>
      </c>
    </row>
    <row r="129">
      <c r="A129" s="1">
        <v>128.0</v>
      </c>
      <c r="B129" s="13" t="s">
        <v>72</v>
      </c>
      <c r="C129" s="1" t="s">
        <v>183</v>
      </c>
      <c r="D129" s="1" t="s">
        <v>200</v>
      </c>
      <c r="E129" s="12" t="s">
        <v>73</v>
      </c>
      <c r="F129" s="1">
        <v>0.0</v>
      </c>
      <c r="G129" s="1" t="s">
        <v>43</v>
      </c>
    </row>
    <row r="130">
      <c r="B130" s="16"/>
    </row>
  </sheetData>
  <dataValidations>
    <dataValidation type="list" allowBlank="1" showErrorMessage="1" sqref="D2:D129">
      <formula1>"Data &amp; Analysis,AI,Software &amp; IT,Cloud &amp; Infrastructure,Cybersecurity,Business &amp; Management,Marketing &amp; Sales,Finance &amp; Accounting,Consulting &amp; Strategy,Design &amp; Creativity,Engineering &amp; Science,Others"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</hyperlinks>
  <drawing r:id="rId12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4.5"/>
    <col customWidth="1" min="3" max="3" width="33.0"/>
    <col customWidth="1" min="4" max="22" width="14.5"/>
  </cols>
  <sheetData>
    <row r="1">
      <c r="A1" s="1" t="s">
        <v>0</v>
      </c>
      <c r="B1" s="1" t="s">
        <v>2</v>
      </c>
      <c r="C1" s="1" t="s">
        <v>4</v>
      </c>
      <c r="D1" s="1" t="s">
        <v>7</v>
      </c>
      <c r="E1" s="1" t="s">
        <v>15</v>
      </c>
      <c r="F1" s="1" t="s">
        <v>5</v>
      </c>
    </row>
    <row r="2">
      <c r="A2" s="1" t="s">
        <v>26</v>
      </c>
      <c r="B2" s="1" t="str">
        <f t="array" ref="B2">IF(F2="","",_xlfn.XLOOKUP(F2,Certificates!A:A,Certificates!D:D,"No match",0))</f>
        <v>Data &amp; Analysis</v>
      </c>
      <c r="C2" s="1" t="s">
        <v>24</v>
      </c>
      <c r="D2" s="3" t="s">
        <v>34</v>
      </c>
      <c r="E2" s="4" t="s">
        <v>29</v>
      </c>
      <c r="F2" s="5">
        <f t="array" ref="F2">IF(C2="","",_xlfn.XLOOKUP(C2,Certificates!B:B,Certificates!A:A,"No match",0))</f>
        <v>1</v>
      </c>
    </row>
    <row r="3">
      <c r="A3" s="1" t="s">
        <v>26</v>
      </c>
      <c r="B3" s="1" t="str">
        <f t="array" ref="B3">IF(F3="","",_xlfn.XLOOKUP(F3,Certificates!A:A,Certificates!D:D,"No match",0))</f>
        <v>Data &amp; Analysis</v>
      </c>
      <c r="C3" s="1" t="s">
        <v>41</v>
      </c>
      <c r="D3" s="3" t="s">
        <v>27</v>
      </c>
      <c r="E3" s="2" t="s">
        <v>42</v>
      </c>
      <c r="F3" s="5">
        <f t="array" ref="F3">IF(C3="","",_xlfn.XLOOKUP(C3,Certificates!B:B,Certificates!A:A,"No match",0))</f>
        <v>29</v>
      </c>
    </row>
    <row r="4">
      <c r="A4" s="1" t="s">
        <v>26</v>
      </c>
      <c r="B4" s="1" t="str">
        <f t="array" ref="B4">IF(F4="","",_xlfn.XLOOKUP(F4,Certificates!A:A,Certificates!D:D,"No match",0))</f>
        <v>Cybersecurity</v>
      </c>
      <c r="C4" s="1" t="s">
        <v>49</v>
      </c>
      <c r="D4" s="3" t="s">
        <v>27</v>
      </c>
      <c r="E4" s="2" t="s">
        <v>50</v>
      </c>
      <c r="F4" s="5">
        <f t="array" ref="F4">IF(C4="","",_xlfn.XLOOKUP(C4,Certificates!B:B,Certificates!A:A,"No match",0))</f>
        <v>30</v>
      </c>
    </row>
    <row r="5">
      <c r="A5" s="1" t="s">
        <v>26</v>
      </c>
      <c r="B5" s="1" t="str">
        <f t="array" ref="B5">IF(F5="","",_xlfn.XLOOKUP(F5,Certificates!A:A,Certificates!D:D,"No match",0))</f>
        <v>AI</v>
      </c>
      <c r="C5" s="1" t="s">
        <v>55</v>
      </c>
      <c r="D5" s="3" t="s">
        <v>27</v>
      </c>
      <c r="E5" s="2" t="s">
        <v>56</v>
      </c>
      <c r="F5" s="5">
        <f t="array" ref="F5">IF(C5="","",_xlfn.XLOOKUP(C5,Certificates!B:B,Certificates!A:A,"No match",0))</f>
        <v>31</v>
      </c>
    </row>
    <row r="6">
      <c r="A6" s="1" t="s">
        <v>26</v>
      </c>
      <c r="B6" s="1" t="str">
        <f t="array" ref="B6">IF(F6="","",_xlfn.XLOOKUP(F6,Certificates!A:A,Certificates!D:D,"No match",0))</f>
        <v>Software &amp; IT</v>
      </c>
      <c r="C6" s="1" t="s">
        <v>62</v>
      </c>
      <c r="D6" s="3" t="s">
        <v>27</v>
      </c>
      <c r="E6" s="2" t="s">
        <v>63</v>
      </c>
      <c r="F6" s="5">
        <f t="array" ref="F6">IF(C6="","",_xlfn.XLOOKUP(C6,Certificates!B:B,Certificates!A:A,"No match",0))</f>
        <v>32</v>
      </c>
    </row>
    <row r="7">
      <c r="A7" s="1" t="s">
        <v>26</v>
      </c>
      <c r="B7" s="1" t="str">
        <f t="array" ref="B7">IF(F7="","",_xlfn.XLOOKUP(F7,Certificates!A:A,Certificates!D:D,"No match",0))</f>
        <v>AI</v>
      </c>
      <c r="C7" s="1" t="s">
        <v>68</v>
      </c>
      <c r="D7" s="3" t="s">
        <v>27</v>
      </c>
      <c r="E7" s="2" t="s">
        <v>69</v>
      </c>
      <c r="F7" s="5">
        <f t="array" ref="F7">IF(C7="","",_xlfn.XLOOKUP(C7,Certificates!B:B,Certificates!A:A,"No match",0))</f>
        <v>127</v>
      </c>
    </row>
    <row r="8">
      <c r="A8" s="1" t="s">
        <v>26</v>
      </c>
      <c r="B8" s="1" t="str">
        <f t="array" ref="B8">IF(F8="","",_xlfn.XLOOKUP(F8,Certificates!A:A,Certificates!D:D,"No match",0))</f>
        <v>Business &amp; Management</v>
      </c>
      <c r="C8" s="1" t="s">
        <v>72</v>
      </c>
      <c r="D8" s="3" t="s">
        <v>27</v>
      </c>
      <c r="E8" s="2" t="s">
        <v>73</v>
      </c>
      <c r="F8" s="5">
        <f t="array" ref="F8">IF(C8="","",_xlfn.XLOOKUP(C8,Certificates!B:B,Certificates!A:A,"No match",0))</f>
        <v>128</v>
      </c>
    </row>
    <row r="9">
      <c r="A9" s="1" t="s">
        <v>26</v>
      </c>
      <c r="B9" s="1" t="str">
        <f t="array" ref="B9">IF(F9="","",_xlfn.XLOOKUP(F9,Certificates!A:A,Certificates!D:D,"No match",0))</f>
        <v>AI</v>
      </c>
      <c r="C9" s="1" t="s">
        <v>79</v>
      </c>
      <c r="D9" s="3" t="s">
        <v>27</v>
      </c>
      <c r="E9" s="2" t="s">
        <v>117</v>
      </c>
      <c r="F9" s="5">
        <f t="array" ref="F9">IF(C9="","",_xlfn.XLOOKUP(C9,Certificates!B:B,Certificates!A:A,"No match",0))</f>
        <v>28</v>
      </c>
    </row>
    <row r="10">
      <c r="A10" s="1" t="s">
        <v>26</v>
      </c>
      <c r="B10" s="1" t="str">
        <f t="array" ref="B10">IF(F10="","",_xlfn.XLOOKUP(F10,Certificates!A:A,Certificates!D:D,"No match",0))</f>
        <v>Finance &amp; Accounting</v>
      </c>
      <c r="C10" s="1" t="s">
        <v>97</v>
      </c>
      <c r="D10" s="3" t="s">
        <v>40</v>
      </c>
      <c r="E10" s="2" t="s">
        <v>98</v>
      </c>
      <c r="F10" s="5">
        <f t="array" ref="F10">IF(C10="","",_xlfn.XLOOKUP(C10,Certificates!B:B,Certificates!A:A,"No match",0))</f>
        <v>50</v>
      </c>
    </row>
    <row r="11">
      <c r="A11" s="1" t="s">
        <v>26</v>
      </c>
      <c r="B11" s="1" t="str">
        <f t="array" ref="B11">IF(F11="","",_xlfn.XLOOKUP(F11,Certificates!A:A,Certificates!D:D,"No match",0))</f>
        <v>Finance &amp; Accounting</v>
      </c>
      <c r="C11" s="1" t="s">
        <v>114</v>
      </c>
      <c r="D11" s="3" t="s">
        <v>40</v>
      </c>
      <c r="E11" s="2" t="s">
        <v>115</v>
      </c>
      <c r="F11" s="5">
        <f t="array" ref="F11">IF(C11="","",_xlfn.XLOOKUP(C11,Certificates!B:B,Certificates!A:A,"No match",0))</f>
        <v>52</v>
      </c>
    </row>
    <row r="12">
      <c r="A12" s="1" t="s">
        <v>26</v>
      </c>
      <c r="B12" s="1" t="str">
        <f t="array" ref="B12">IF(F12="","",_xlfn.XLOOKUP(F12,Certificates!A:A,Certificates!D:D,"No match",0))</f>
        <v>Finance &amp; Accounting</v>
      </c>
      <c r="C12" s="1" t="s">
        <v>105</v>
      </c>
      <c r="D12" s="3" t="s">
        <v>40</v>
      </c>
      <c r="E12" s="2" t="s">
        <v>109</v>
      </c>
      <c r="F12" s="5">
        <f t="array" ref="F12">IF(C12="","",_xlfn.XLOOKUP(C12,Certificates!B:B,Certificates!A:A,"No match",0))</f>
        <v>12</v>
      </c>
    </row>
    <row r="13">
      <c r="A13" s="1" t="s">
        <v>26</v>
      </c>
      <c r="B13" s="1" t="str">
        <f t="array" ref="B13">IF(F13="","",_xlfn.XLOOKUP(F13,Certificates!A:A,Certificates!D:D,"No match",0))</f>
        <v>Cybersecurity</v>
      </c>
      <c r="C13" s="1" t="s">
        <v>111</v>
      </c>
      <c r="D13" s="1" t="s">
        <v>40</v>
      </c>
      <c r="E13" s="2" t="s">
        <v>113</v>
      </c>
      <c r="F13" s="5">
        <f t="array" ref="F13">IF(C13="","",_xlfn.XLOOKUP(C13,Certificates!B:B,Certificates!A:A,"No match",0))</f>
        <v>13</v>
      </c>
    </row>
    <row r="14">
      <c r="A14" s="1" t="s">
        <v>26</v>
      </c>
      <c r="B14" s="1" t="str">
        <f t="array" ref="B14">IF(F14="","",_xlfn.XLOOKUP(F14,Certificates!A:A,Certificates!D:D,"No match",0))</f>
        <v>Data &amp; Analysis</v>
      </c>
      <c r="C14" s="1" t="s">
        <v>24</v>
      </c>
      <c r="D14" s="1" t="s">
        <v>40</v>
      </c>
      <c r="E14" s="2" t="s">
        <v>29</v>
      </c>
      <c r="F14" s="5">
        <f t="array" ref="F14">IF(C14="","",_xlfn.XLOOKUP(C14,Certificates!B:B,Certificates!A:A,"No match",0))</f>
        <v>1</v>
      </c>
    </row>
    <row r="15">
      <c r="A15" s="1" t="s">
        <v>26</v>
      </c>
      <c r="B15" s="1" t="str">
        <f t="array" ref="B15">IF(F15="","",_xlfn.XLOOKUP(F15,Certificates!A:A,Certificates!D:D,"No match",0))</f>
        <v>Finance &amp; Accounting</v>
      </c>
      <c r="C15" s="1" t="s">
        <v>136</v>
      </c>
      <c r="D15" s="1" t="s">
        <v>40</v>
      </c>
      <c r="E15" s="2" t="s">
        <v>137</v>
      </c>
      <c r="F15" s="5">
        <f t="array" ref="F15">IF(C15="","",_xlfn.XLOOKUP(C15,Certificates!B:B,Certificates!A:A,"No match",0))</f>
        <v>51</v>
      </c>
    </row>
    <row r="16">
      <c r="A16" s="1" t="s">
        <v>26</v>
      </c>
      <c r="B16" s="1" t="str">
        <f t="array" ref="B16">IF(F16="","",_xlfn.XLOOKUP(F16,Certificates!A:A,Certificates!D:D,"No match",0))</f>
        <v>Finance &amp; Accounting</v>
      </c>
      <c r="C16" s="1" t="s">
        <v>142</v>
      </c>
      <c r="D16" s="1" t="s">
        <v>40</v>
      </c>
      <c r="E16" s="2" t="s">
        <v>143</v>
      </c>
      <c r="F16" s="5">
        <f t="array" ref="F16">IF(C16="","",_xlfn.XLOOKUP(C16,Certificates!B:B,Certificates!A:A,"No match",0))</f>
        <v>53</v>
      </c>
    </row>
    <row r="17">
      <c r="A17" s="1" t="s">
        <v>26</v>
      </c>
      <c r="B17" s="1" t="str">
        <f t="array" ref="B17">IF(F17="","",_xlfn.XLOOKUP(F17,Certificates!A:A,Certificates!D:D,"No match",0))</f>
        <v>Engineering &amp; Science</v>
      </c>
      <c r="C17" s="1" t="s">
        <v>147</v>
      </c>
      <c r="D17" s="1" t="s">
        <v>40</v>
      </c>
      <c r="E17" s="2" t="s">
        <v>148</v>
      </c>
      <c r="F17" s="5">
        <f t="array" ref="F17">IF(C17="","",_xlfn.XLOOKUP(C17,Certificates!B:B,Certificates!A:A,"No match",0))</f>
        <v>54</v>
      </c>
    </row>
    <row r="18">
      <c r="A18" s="1" t="s">
        <v>26</v>
      </c>
      <c r="B18" s="1" t="str">
        <f t="array" ref="B18">IF(F18="","",_xlfn.XLOOKUP(F18,Certificates!A:A,Certificates!D:D,"No match",0))</f>
        <v>Finance &amp; Accounting</v>
      </c>
      <c r="C18" s="1" t="s">
        <v>99</v>
      </c>
      <c r="D18" s="1" t="s">
        <v>40</v>
      </c>
      <c r="E18" s="4" t="s">
        <v>103</v>
      </c>
      <c r="F18" s="5">
        <f t="array" ref="F18">IF(C18="","",_xlfn.XLOOKUP(C18,Certificates!B:B,Certificates!A:A,"No match",0))</f>
        <v>11</v>
      </c>
    </row>
    <row r="19">
      <c r="A19" s="1" t="s">
        <v>26</v>
      </c>
      <c r="B19" s="1" t="str">
        <f t="array" ref="B19">IF(F19="","",_xlfn.XLOOKUP(F19,Certificates!A:A,Certificates!D:D,"No match",0))</f>
        <v>Business &amp; Management</v>
      </c>
      <c r="C19" s="1" t="s">
        <v>156</v>
      </c>
      <c r="D19" s="1" t="s">
        <v>40</v>
      </c>
      <c r="E19" s="2" t="s">
        <v>158</v>
      </c>
      <c r="F19" s="5">
        <f t="array" ref="F19">IF(C19="","",_xlfn.XLOOKUP(C19,Certificates!B:B,Certificates!A:A,"No match",0))</f>
        <v>55</v>
      </c>
    </row>
    <row r="20">
      <c r="A20" s="1" t="s">
        <v>26</v>
      </c>
      <c r="B20" s="1" t="str">
        <f t="array" ref="B20">IF(F20="","",_xlfn.XLOOKUP(F20,Certificates!A:A,Certificates!D:D,"No match",0))</f>
        <v>AI</v>
      </c>
      <c r="C20" s="1" t="s">
        <v>161</v>
      </c>
      <c r="D20" s="1" t="s">
        <v>47</v>
      </c>
      <c r="E20" s="2" t="s">
        <v>162</v>
      </c>
      <c r="F20" s="5">
        <f t="array" ref="F20">IF(C20="","",_xlfn.XLOOKUP(C20,Certificates!B:B,Certificates!A:A,"No match",0))</f>
        <v>45</v>
      </c>
    </row>
    <row r="21">
      <c r="A21" s="1" t="s">
        <v>26</v>
      </c>
      <c r="B21" s="1" t="str">
        <f t="array" ref="B21">IF(F21="","",_xlfn.XLOOKUP(F21,Certificates!A:A,Certificates!D:D,"No match",0))</f>
        <v>Software &amp; IT</v>
      </c>
      <c r="C21" s="1" t="s">
        <v>165</v>
      </c>
      <c r="D21" s="1" t="s">
        <v>47</v>
      </c>
      <c r="E21" s="2" t="s">
        <v>167</v>
      </c>
      <c r="F21" s="5">
        <f t="array" ref="F21">IF(C21="","",_xlfn.XLOOKUP(C21,Certificates!B:B,Certificates!A:A,"No match",0))</f>
        <v>39</v>
      </c>
    </row>
    <row r="22">
      <c r="A22" s="1" t="s">
        <v>26</v>
      </c>
      <c r="B22" s="1" t="str">
        <f t="array" ref="B22">IF(F22="","",_xlfn.XLOOKUP(F22,Certificates!A:A,Certificates!D:D,"No match",0))</f>
        <v>Data &amp; Analysis</v>
      </c>
      <c r="C22" s="9" t="s">
        <v>118</v>
      </c>
      <c r="D22" s="1" t="s">
        <v>47</v>
      </c>
      <c r="E22" s="12" t="s">
        <v>120</v>
      </c>
      <c r="F22" s="5">
        <f t="array" ref="F22">IF(C22="","",_xlfn.XLOOKUP(C22,Certificates!B:B,Certificates!A:A,"No match",0))</f>
        <v>14</v>
      </c>
    </row>
    <row r="23">
      <c r="A23" s="1" t="s">
        <v>26</v>
      </c>
      <c r="B23" s="1" t="str">
        <f t="array" ref="B23">IF(F23="","",_xlfn.XLOOKUP(F23,Certificates!A:A,Certificates!D:D,"No match",0))</f>
        <v>Data &amp; Analysis</v>
      </c>
      <c r="C23" s="9" t="s">
        <v>122</v>
      </c>
      <c r="D23" s="1" t="s">
        <v>47</v>
      </c>
      <c r="E23" s="12" t="s">
        <v>123</v>
      </c>
      <c r="F23" s="5">
        <f t="array" ref="F23">IF(C23="","",_xlfn.XLOOKUP(C23,Certificates!B:B,Certificates!A:A,"No match",0))</f>
        <v>15</v>
      </c>
    </row>
    <row r="24">
      <c r="A24" s="1" t="s">
        <v>26</v>
      </c>
      <c r="B24" s="1" t="str">
        <f t="array" ref="B24">IF(F24="","",_xlfn.XLOOKUP(F24,Certificates!A:A,Certificates!D:D,"No match",0))</f>
        <v>Data &amp; Analysis</v>
      </c>
      <c r="C24" s="1" t="s">
        <v>175</v>
      </c>
      <c r="D24" s="1" t="s">
        <v>47</v>
      </c>
      <c r="E24" s="2" t="s">
        <v>176</v>
      </c>
      <c r="F24" s="5">
        <f t="array" ref="F24">IF(C24="","",_xlfn.XLOOKUP(C24,Certificates!B:B,Certificates!A:A,"No match",0))</f>
        <v>56</v>
      </c>
    </row>
    <row r="25">
      <c r="A25" s="1" t="s">
        <v>26</v>
      </c>
      <c r="B25" s="1" t="str">
        <f t="array" ref="B25">IF(F25="","",_xlfn.XLOOKUP(F25,Certificates!A:A,Certificates!D:D,"No match",0))</f>
        <v>Data &amp; Analysis</v>
      </c>
      <c r="C25" s="1" t="s">
        <v>181</v>
      </c>
      <c r="D25" s="1" t="s">
        <v>47</v>
      </c>
      <c r="E25" s="2" t="s">
        <v>182</v>
      </c>
      <c r="F25" s="5">
        <f t="array" ref="F25">IF(C25="","",_xlfn.XLOOKUP(C25,Certificates!B:B,Certificates!A:A,"No match",0))</f>
        <v>62</v>
      </c>
    </row>
    <row r="26">
      <c r="A26" s="1" t="s">
        <v>26</v>
      </c>
      <c r="B26" s="1" t="str">
        <f t="array" ref="B26">IF(F26="","",_xlfn.XLOOKUP(F26,Certificates!A:A,Certificates!D:D,"No match",0))</f>
        <v>Data &amp; Analysis</v>
      </c>
      <c r="C26" s="1" t="s">
        <v>24</v>
      </c>
      <c r="D26" s="1" t="s">
        <v>47</v>
      </c>
      <c r="E26" s="2" t="s">
        <v>29</v>
      </c>
      <c r="F26" s="5">
        <f t="array" ref="F26">IF(C26="","",_xlfn.XLOOKUP(C26,Certificates!B:B,Certificates!A:A,"No match",0))</f>
        <v>1</v>
      </c>
    </row>
    <row r="27">
      <c r="A27" s="1" t="s">
        <v>26</v>
      </c>
      <c r="B27" s="1" t="str">
        <f t="array" ref="B27">IF(F27="","",_xlfn.XLOOKUP(F27,Certificates!A:A,Certificates!D:D,"No match",0))</f>
        <v>Engineering &amp; Science</v>
      </c>
      <c r="C27" s="1" t="s">
        <v>185</v>
      </c>
      <c r="D27" s="1" t="s">
        <v>47</v>
      </c>
      <c r="E27" s="2" t="s">
        <v>186</v>
      </c>
      <c r="F27" s="5">
        <f t="array" ref="F27">IF(C27="","",_xlfn.XLOOKUP(C27,Certificates!B:B,Certificates!A:A,"No match",0))</f>
        <v>68</v>
      </c>
    </row>
    <row r="28">
      <c r="A28" s="1" t="s">
        <v>26</v>
      </c>
      <c r="B28" s="1" t="str">
        <f t="array" ref="B28">IF(F28="","",_xlfn.XLOOKUP(F28,Certificates!A:A,Certificates!D:D,"No match",0))</f>
        <v>Software &amp; IT</v>
      </c>
      <c r="C28" s="1" t="s">
        <v>231</v>
      </c>
      <c r="D28" s="1" t="s">
        <v>47</v>
      </c>
      <c r="E28" s="2" t="s">
        <v>188</v>
      </c>
      <c r="F28" s="5">
        <f t="array" ref="F28">IF(C28="","",_xlfn.XLOOKUP(C28,Certificates!B:B,Certificates!A:A,"No match",0))</f>
        <v>65</v>
      </c>
    </row>
    <row r="29">
      <c r="A29" s="1" t="s">
        <v>26</v>
      </c>
      <c r="B29" s="1" t="str">
        <f t="array" ref="B29">IF(F29="","",_xlfn.XLOOKUP(F29,Certificates!A:A,Certificates!D:D,"No match",0))</f>
        <v>AI</v>
      </c>
      <c r="C29" s="1" t="s">
        <v>66</v>
      </c>
      <c r="D29" s="1" t="s">
        <v>64</v>
      </c>
      <c r="E29" s="4" t="s">
        <v>67</v>
      </c>
      <c r="F29" s="5">
        <f t="array" ref="F29">IF(C29="","",_xlfn.XLOOKUP(C29,Certificates!B:B,Certificates!A:A,"No match",0))</f>
        <v>6</v>
      </c>
    </row>
    <row r="30">
      <c r="A30" s="1" t="s">
        <v>26</v>
      </c>
      <c r="B30" s="1" t="str">
        <f t="array" ref="B30">IF(F30="","",_xlfn.XLOOKUP(F30,Certificates!A:A,Certificates!D:D,"No match",0))</f>
        <v>AI</v>
      </c>
      <c r="C30" s="1" t="s">
        <v>193</v>
      </c>
      <c r="D30" s="1" t="s">
        <v>64</v>
      </c>
      <c r="E30" s="10" t="s">
        <v>241</v>
      </c>
      <c r="F30" s="5">
        <f t="array" ref="F30">IF(C30="","",_xlfn.XLOOKUP(C30,Certificates!B:B,Certificates!A:A,"No match",0))</f>
        <v>28</v>
      </c>
    </row>
    <row r="31">
      <c r="A31" s="1" t="s">
        <v>26</v>
      </c>
      <c r="B31" s="1" t="str">
        <f t="array" ref="B31">IF(F31="","",_xlfn.XLOOKUP(F31,Certificates!A:A,Certificates!D:D,"No match",0))</f>
        <v>AI</v>
      </c>
      <c r="C31" s="1" t="s">
        <v>197</v>
      </c>
      <c r="D31" s="1" t="s">
        <v>64</v>
      </c>
      <c r="E31" s="2" t="s">
        <v>198</v>
      </c>
      <c r="F31" s="5">
        <f t="array" ref="F31">IF(C31="","",_xlfn.XLOOKUP(C31,Certificates!B:B,Certificates!A:A,"No match",0))</f>
        <v>69</v>
      </c>
    </row>
    <row r="32">
      <c r="A32" s="1" t="s">
        <v>26</v>
      </c>
      <c r="B32" s="1" t="str">
        <f t="array" ref="B32">IF(F32="","",_xlfn.XLOOKUP(F32,Certificates!A:A,Certificates!D:D,"No match",0))</f>
        <v>Cloud &amp; Infrastructure</v>
      </c>
      <c r="C32" s="1" t="s">
        <v>204</v>
      </c>
      <c r="D32" s="1" t="s">
        <v>64</v>
      </c>
      <c r="E32" s="2" t="s">
        <v>205</v>
      </c>
      <c r="F32" s="5">
        <f t="array" ref="F32">IF(C32="","",_xlfn.XLOOKUP(C32,Certificates!B:B,Certificates!A:A,"No match",0))</f>
        <v>46</v>
      </c>
    </row>
    <row r="33">
      <c r="A33" s="1" t="s">
        <v>26</v>
      </c>
      <c r="B33" s="1" t="str">
        <f t="array" ref="B33">IF(F33="","",_xlfn.XLOOKUP(F33,Certificates!A:A,Certificates!D:D,"No match",0))</f>
        <v>Marketing &amp; Sales</v>
      </c>
      <c r="C33" s="1" t="s">
        <v>189</v>
      </c>
      <c r="D33" s="1" t="s">
        <v>70</v>
      </c>
      <c r="E33" s="2" t="s">
        <v>190</v>
      </c>
      <c r="F33" s="5">
        <f t="array" ref="F33">IF(C33="","",_xlfn.XLOOKUP(C33,Certificates!B:B,Certificates!A:A,"No match",0))</f>
        <v>33</v>
      </c>
    </row>
    <row r="34">
      <c r="A34" s="1" t="s">
        <v>26</v>
      </c>
      <c r="B34" s="1" t="str">
        <f t="array" ref="B34">IF(F34="","",_xlfn.XLOOKUP(F34,Certificates!A:A,Certificates!D:D,"No match",0))</f>
        <v>AI</v>
      </c>
      <c r="C34" s="1" t="s">
        <v>79</v>
      </c>
      <c r="D34" s="1" t="s">
        <v>70</v>
      </c>
      <c r="E34" s="12" t="s">
        <v>264</v>
      </c>
      <c r="F34" s="5">
        <f t="array" ref="F34">IF(C34="","",_xlfn.XLOOKUP(C34,Certificates!B:B,Certificates!A:A,"No match",0))</f>
        <v>28</v>
      </c>
    </row>
    <row r="35">
      <c r="A35" s="1" t="s">
        <v>26</v>
      </c>
      <c r="B35" s="1" t="str">
        <f t="array" ref="B35">IF(F35="","",_xlfn.XLOOKUP(F35,Certificates!A:A,Certificates!D:D,"No match",0))</f>
        <v>Data &amp; Analysis</v>
      </c>
      <c r="C35" s="1" t="s">
        <v>191</v>
      </c>
      <c r="D35" s="1" t="s">
        <v>70</v>
      </c>
      <c r="E35" s="2" t="s">
        <v>192</v>
      </c>
      <c r="F35" s="5">
        <f t="array" ref="F35">IF(C35="","",_xlfn.XLOOKUP(C35,Certificates!B:B,Certificates!A:A,"No match",0))</f>
        <v>34</v>
      </c>
    </row>
    <row r="36">
      <c r="A36" s="1" t="s">
        <v>26</v>
      </c>
      <c r="B36" s="1" t="str">
        <f t="array" ref="B36">IF(F36="","",_xlfn.XLOOKUP(F36,Certificates!A:A,Certificates!D:D,"No match",0))</f>
        <v>Data &amp; Analysis</v>
      </c>
      <c r="C36" s="1" t="s">
        <v>195</v>
      </c>
      <c r="D36" s="1" t="s">
        <v>70</v>
      </c>
      <c r="E36" s="2" t="s">
        <v>196</v>
      </c>
      <c r="F36" s="5">
        <f t="array" ref="F36">IF(C36="","",_xlfn.XLOOKUP(C36,Certificates!B:B,Certificates!A:A,"No match",0))</f>
        <v>35</v>
      </c>
    </row>
    <row r="37">
      <c r="A37" s="1" t="s">
        <v>26</v>
      </c>
      <c r="B37" s="1" t="str">
        <f t="array" ref="B37">IF(F37="","",_xlfn.XLOOKUP(F37,Certificates!A:A,Certificates!D:D,"No match",0))</f>
        <v>Business &amp; Management</v>
      </c>
      <c r="C37" s="1" t="s">
        <v>199</v>
      </c>
      <c r="D37" s="1" t="s">
        <v>70</v>
      </c>
      <c r="E37" s="4" t="s">
        <v>201</v>
      </c>
      <c r="F37" s="5">
        <f t="array" ref="F37">IF(C37="","",_xlfn.XLOOKUP(C37,Certificates!B:B,Certificates!A:A,"No match",0))</f>
        <v>36</v>
      </c>
    </row>
    <row r="38">
      <c r="A38" s="1" t="s">
        <v>26</v>
      </c>
      <c r="B38" s="1" t="str">
        <f t="array" ref="B38">IF(F38="","",_xlfn.XLOOKUP(F38,Certificates!A:A,Certificates!D:D,"No match",0))</f>
        <v>Marketing &amp; Sales</v>
      </c>
      <c r="C38" s="1" t="s">
        <v>171</v>
      </c>
      <c r="D38" s="1" t="s">
        <v>70</v>
      </c>
      <c r="E38" s="2" t="s">
        <v>172</v>
      </c>
      <c r="F38" s="5">
        <f t="array" ref="F38">IF(C38="","",_xlfn.XLOOKUP(C38,Certificates!B:B,Certificates!A:A,"No match",0))</f>
        <v>24</v>
      </c>
    </row>
    <row r="39">
      <c r="A39" s="1" t="s">
        <v>26</v>
      </c>
      <c r="B39" s="1" t="str">
        <f t="array" ref="B39">IF(F39="","",_xlfn.XLOOKUP(F39,Certificates!A:A,Certificates!D:D,"No match",0))</f>
        <v>Marketing &amp; Sales</v>
      </c>
      <c r="C39" s="1" t="s">
        <v>166</v>
      </c>
      <c r="D39" s="1" t="s">
        <v>70</v>
      </c>
      <c r="E39" s="2" t="s">
        <v>301</v>
      </c>
      <c r="F39" s="5">
        <f t="array" ref="F39">IF(C39="","",_xlfn.XLOOKUP(C39,Certificates!B:B,Certificates!A:A,"No match",0))</f>
        <v>23</v>
      </c>
    </row>
    <row r="40">
      <c r="A40" s="1" t="s">
        <v>26</v>
      </c>
      <c r="B40" s="1" t="str">
        <f t="array" ref="B40">IF(F40="","",_xlfn.XLOOKUP(F40,Certificates!A:A,Certificates!D:D,"No match",0))</f>
        <v>Marketing &amp; Sales</v>
      </c>
      <c r="C40" s="1" t="s">
        <v>173</v>
      </c>
      <c r="D40" s="1" t="s">
        <v>70</v>
      </c>
      <c r="E40" s="2" t="s">
        <v>174</v>
      </c>
      <c r="F40" s="5">
        <f t="array" ref="F40">IF(C40="","",_xlfn.XLOOKUP(C40,Certificates!B:B,Certificates!A:A,"No match",0))</f>
        <v>25</v>
      </c>
    </row>
    <row r="41">
      <c r="A41" s="1" t="s">
        <v>26</v>
      </c>
      <c r="B41" s="1" t="str">
        <f t="array" ref="B41">IF(F41="","",_xlfn.XLOOKUP(F41,Certificates!A:A,Certificates!D:D,"No match",0))</f>
        <v>Marketing &amp; Sales</v>
      </c>
      <c r="C41" s="1" t="s">
        <v>177</v>
      </c>
      <c r="D41" s="1" t="s">
        <v>70</v>
      </c>
      <c r="E41" s="2" t="s">
        <v>178</v>
      </c>
      <c r="F41" s="5">
        <f t="array" ref="F41">IF(C41="","",_xlfn.XLOOKUP(C41,Certificates!B:B,Certificates!A:A,"No match",0))</f>
        <v>26</v>
      </c>
    </row>
    <row r="42">
      <c r="A42" s="1" t="s">
        <v>26</v>
      </c>
      <c r="B42" s="1" t="str">
        <f t="array" ref="B42">IF(F42="","",_xlfn.XLOOKUP(F42,Certificates!A:A,Certificates!D:D,"No match",0))</f>
        <v>Marketing &amp; Sales</v>
      </c>
      <c r="C42" s="1" t="s">
        <v>227</v>
      </c>
      <c r="D42" s="1" t="s">
        <v>70</v>
      </c>
      <c r="E42" s="2" t="s">
        <v>228</v>
      </c>
      <c r="F42" s="5">
        <f t="array" ref="F42">IF(C42="","",_xlfn.XLOOKUP(C42,Certificates!B:B,Certificates!A:A,"No match",0))</f>
        <v>90</v>
      </c>
    </row>
    <row r="43">
      <c r="A43" s="1" t="s">
        <v>26</v>
      </c>
      <c r="B43" s="1" t="str">
        <f t="array" ref="B43">IF(F43="","",_xlfn.XLOOKUP(F43,Certificates!A:A,Certificates!D:D,"No match",0))</f>
        <v>AI</v>
      </c>
      <c r="C43" s="1" t="s">
        <v>208</v>
      </c>
      <c r="D43" s="1" t="s">
        <v>70</v>
      </c>
      <c r="E43" s="2" t="s">
        <v>210</v>
      </c>
      <c r="F43" s="5">
        <f t="array" ref="F43">IF(C43="","",_xlfn.XLOOKUP(C43,Certificates!B:B,Certificates!A:A,"No match",0))</f>
        <v>40</v>
      </c>
    </row>
    <row r="44">
      <c r="A44" s="1" t="s">
        <v>26</v>
      </c>
      <c r="B44" s="1" t="str">
        <f t="array" ref="B44">IF(F44="","",_xlfn.XLOOKUP(F44,Certificates!A:A,Certificates!D:D,"No match",0))</f>
        <v>Data &amp; Analysis</v>
      </c>
      <c r="C44" s="1" t="s">
        <v>211</v>
      </c>
      <c r="D44" s="1" t="s">
        <v>70</v>
      </c>
      <c r="E44" s="2" t="s">
        <v>212</v>
      </c>
      <c r="F44" s="5">
        <f t="array" ref="F44">IF(C44="","",_xlfn.XLOOKUP(C44,Certificates!B:B,Certificates!A:A,"No match",0))</f>
        <v>41</v>
      </c>
    </row>
    <row r="45">
      <c r="A45" s="1" t="s">
        <v>26</v>
      </c>
      <c r="B45" s="1" t="str">
        <f t="array" ref="B45">IF(F45="","",_xlfn.XLOOKUP(F45,Certificates!A:A,Certificates!D:D,"No match",0))</f>
        <v>Cloud &amp; Infrastructure</v>
      </c>
      <c r="C45" s="1" t="s">
        <v>213</v>
      </c>
      <c r="D45" s="1" t="s">
        <v>70</v>
      </c>
      <c r="E45" s="2" t="s">
        <v>214</v>
      </c>
      <c r="F45" s="5">
        <f t="array" ref="F45">IF(C45="","",_xlfn.XLOOKUP(C45,Certificates!B:B,Certificates!A:A,"No match",0))</f>
        <v>42</v>
      </c>
    </row>
    <row r="46">
      <c r="A46" s="1" t="s">
        <v>26</v>
      </c>
      <c r="B46" s="1" t="str">
        <f t="array" ref="B46">IF(F46="","",_xlfn.XLOOKUP(F46,Certificates!A:A,Certificates!D:D,"No match",0))</f>
        <v>AI</v>
      </c>
      <c r="C46" s="1" t="s">
        <v>236</v>
      </c>
      <c r="D46" s="1" t="s">
        <v>70</v>
      </c>
      <c r="E46" s="2" t="s">
        <v>237</v>
      </c>
      <c r="F46" s="5">
        <f t="array" ref="F46">IF(C46="","",_xlfn.XLOOKUP(C46,Certificates!B:B,Certificates!A:A,"No match",0))</f>
        <v>87</v>
      </c>
    </row>
    <row r="47">
      <c r="A47" s="1" t="s">
        <v>26</v>
      </c>
      <c r="B47" s="1" t="str">
        <f t="array" ref="B47">IF(F47="","",_xlfn.XLOOKUP(F47,Certificates!A:A,Certificates!D:D,"No match",0))</f>
        <v>Data &amp; Analysis</v>
      </c>
      <c r="C47" s="1" t="s">
        <v>126</v>
      </c>
      <c r="D47" s="1" t="s">
        <v>70</v>
      </c>
      <c r="E47" s="2" t="s">
        <v>127</v>
      </c>
      <c r="F47" s="5">
        <f t="array" ref="F47">IF(C47="","",_xlfn.XLOOKUP(C47,Certificates!B:B,Certificates!A:A,"No match",0))</f>
        <v>16</v>
      </c>
    </row>
    <row r="48">
      <c r="A48" s="1" t="s">
        <v>26</v>
      </c>
      <c r="B48" s="1" t="str">
        <f t="array" ref="B48">IF(F48="","",_xlfn.XLOOKUP(F48,Certificates!A:A,Certificates!D:D,"No match",0))</f>
        <v>AI</v>
      </c>
      <c r="C48" s="1" t="s">
        <v>134</v>
      </c>
      <c r="D48" s="1" t="s">
        <v>70</v>
      </c>
      <c r="E48" s="2" t="s">
        <v>135</v>
      </c>
      <c r="F48" s="5">
        <f t="array" ref="F48">IF(C48="","",_xlfn.XLOOKUP(C48,Certificates!B:B,Certificates!A:A,"No match",0))</f>
        <v>17</v>
      </c>
    </row>
    <row r="49">
      <c r="A49" s="1" t="s">
        <v>26</v>
      </c>
      <c r="B49" s="1" t="str">
        <f t="array" ref="B49">IF(F49="","",_xlfn.XLOOKUP(F49,Certificates!A:A,Certificates!D:D,"No match",0))</f>
        <v>Design &amp; Creativity</v>
      </c>
      <c r="C49" s="1" t="s">
        <v>248</v>
      </c>
      <c r="D49" s="1" t="s">
        <v>70</v>
      </c>
      <c r="E49" s="2" t="s">
        <v>249</v>
      </c>
      <c r="F49" s="5">
        <f t="array" ref="F49">IF(C49="","",_xlfn.XLOOKUP(C49,Certificates!B:B,Certificates!A:A,"No match",0))</f>
        <v>97</v>
      </c>
    </row>
    <row r="50">
      <c r="A50" s="1" t="s">
        <v>26</v>
      </c>
      <c r="B50" s="1" t="str">
        <f t="array" ref="B50">IF(F50="","",_xlfn.XLOOKUP(F50,Certificates!A:A,Certificates!D:D,"No match",0))</f>
        <v>Software &amp; IT</v>
      </c>
      <c r="C50" s="1" t="s">
        <v>250</v>
      </c>
      <c r="D50" s="1" t="s">
        <v>70</v>
      </c>
      <c r="E50" s="2" t="s">
        <v>251</v>
      </c>
      <c r="F50" s="5">
        <f t="array" ref="F50">IF(C50="","",_xlfn.XLOOKUP(C50,Certificates!B:B,Certificates!A:A,"No match",0))</f>
        <v>98</v>
      </c>
    </row>
    <row r="51">
      <c r="A51" s="1" t="s">
        <v>26</v>
      </c>
      <c r="B51" s="1" t="str">
        <f t="array" ref="B51">IF(F51="","",_xlfn.XLOOKUP(F51,Certificates!A:A,Certificates!D:D,"No match",0))</f>
        <v>Data &amp; Analysis</v>
      </c>
      <c r="C51" s="1" t="s">
        <v>254</v>
      </c>
      <c r="D51" s="1" t="s">
        <v>70</v>
      </c>
      <c r="E51" s="2" t="s">
        <v>255</v>
      </c>
      <c r="F51" s="5">
        <f t="array" ref="F51">IF(C51="","",_xlfn.XLOOKUP(C51,Certificates!B:B,Certificates!A:A,"No match",0))</f>
        <v>99</v>
      </c>
    </row>
    <row r="52">
      <c r="A52" s="1" t="s">
        <v>26</v>
      </c>
      <c r="B52" s="1" t="str">
        <f t="array" ref="B52">IF(F52="","",_xlfn.XLOOKUP(F52,Certificates!A:A,Certificates!D:D,"No match",0))</f>
        <v>Software &amp; IT</v>
      </c>
      <c r="C52" s="1" t="s">
        <v>257</v>
      </c>
      <c r="D52" s="1" t="s">
        <v>70</v>
      </c>
      <c r="E52" s="2" t="s">
        <v>258</v>
      </c>
      <c r="F52" s="5">
        <f t="array" ref="F52">IF(C52="","",_xlfn.XLOOKUP(C52,Certificates!B:B,Certificates!A:A,"No match",0))</f>
        <v>123</v>
      </c>
    </row>
    <row r="53">
      <c r="A53" s="1" t="s">
        <v>26</v>
      </c>
      <c r="B53" s="1" t="str">
        <f t="array" ref="B53">IF(F53="","",_xlfn.XLOOKUP(F53,Certificates!A:A,Certificates!D:D,"No match",0))</f>
        <v>Data &amp; Analysis</v>
      </c>
      <c r="C53" s="1" t="s">
        <v>262</v>
      </c>
      <c r="D53" s="1" t="s">
        <v>70</v>
      </c>
      <c r="E53" s="2" t="s">
        <v>263</v>
      </c>
      <c r="F53" s="5">
        <f t="array" ref="F53">IF(C53="","",_xlfn.XLOOKUP(C53,Certificates!B:B,Certificates!A:A,"No match",0))</f>
        <v>124</v>
      </c>
    </row>
    <row r="54">
      <c r="A54" s="1" t="s">
        <v>26</v>
      </c>
      <c r="B54" s="1" t="str">
        <f t="array" ref="B54">IF(F54="","",_xlfn.XLOOKUP(F54,Certificates!A:A,Certificates!D:D,"No match",0))</f>
        <v>Cybersecurity</v>
      </c>
      <c r="C54" s="1" t="s">
        <v>239</v>
      </c>
      <c r="D54" s="1" t="s">
        <v>70</v>
      </c>
      <c r="E54" s="2" t="s">
        <v>416</v>
      </c>
      <c r="F54" s="5">
        <f t="array" ref="F54">IF(C54="","",_xlfn.XLOOKUP(C54,Certificates!B:B,Certificates!A:A,"No match",0))</f>
        <v>57</v>
      </c>
    </row>
    <row r="55">
      <c r="A55" s="1" t="s">
        <v>26</v>
      </c>
      <c r="B55" s="1" t="str">
        <f t="array" ref="B55">IF(F55="","",_xlfn.XLOOKUP(F55,Certificates!A:A,Certificates!D:D,"No match",0))</f>
        <v>Design &amp; Creativity</v>
      </c>
      <c r="C55" s="1" t="s">
        <v>269</v>
      </c>
      <c r="D55" s="1" t="s">
        <v>70</v>
      </c>
      <c r="E55" s="12" t="s">
        <v>271</v>
      </c>
      <c r="F55" s="5">
        <f t="array" ref="F55">IF(C55="","",_xlfn.XLOOKUP(C55,Certificates!B:B,Certificates!A:A,"No match",0))</f>
        <v>125</v>
      </c>
    </row>
    <row r="56">
      <c r="A56" s="1" t="s">
        <v>26</v>
      </c>
      <c r="B56" s="1" t="str">
        <f t="array" ref="B56">IF(F56="","",_xlfn.XLOOKUP(F56,Certificates!A:A,Certificates!D:D,"No match",0))</f>
        <v>Finance &amp; Accounting</v>
      </c>
      <c r="C56" s="1" t="s">
        <v>277</v>
      </c>
      <c r="D56" s="1" t="s">
        <v>70</v>
      </c>
      <c r="E56" s="12" t="s">
        <v>278</v>
      </c>
      <c r="F56" s="5">
        <f t="array" ref="F56">IF(C56="","",_xlfn.XLOOKUP(C56,Certificates!B:B,Certificates!A:A,"No match",0))</f>
        <v>126</v>
      </c>
    </row>
    <row r="57">
      <c r="A57" s="1" t="s">
        <v>26</v>
      </c>
      <c r="B57" s="1" t="str">
        <f t="array" ref="B57">IF(F57="","",_xlfn.XLOOKUP(F57,Certificates!A:A,Certificates!D:D,"No match",0))</f>
        <v>Software &amp; IT</v>
      </c>
      <c r="C57" s="1" t="s">
        <v>215</v>
      </c>
      <c r="D57" s="1" t="s">
        <v>74</v>
      </c>
      <c r="E57" s="2" t="s">
        <v>432</v>
      </c>
      <c r="F57" s="5">
        <f t="array" ref="F57">IF(C57="","",_xlfn.XLOOKUP(C57,Certificates!B:B,Certificates!A:A,"No match",0))</f>
        <v>43</v>
      </c>
    </row>
    <row r="58">
      <c r="A58" s="1" t="s">
        <v>26</v>
      </c>
      <c r="B58" s="1" t="str">
        <f t="array" ref="B58">IF(F58="","",_xlfn.XLOOKUP(F58,Certificates!A:A,Certificates!D:D,"No match",0))</f>
        <v>Data &amp; Analysis</v>
      </c>
      <c r="C58" s="1" t="s">
        <v>35</v>
      </c>
      <c r="D58" s="1" t="s">
        <v>74</v>
      </c>
      <c r="E58" s="8" t="s">
        <v>438</v>
      </c>
      <c r="F58" s="5">
        <f t="array" ref="F58">IF(C58="","",_xlfn.XLOOKUP(C58,Certificates!B:B,Certificates!A:A,"No match",0))</f>
        <v>2</v>
      </c>
    </row>
    <row r="59">
      <c r="A59" s="1" t="s">
        <v>26</v>
      </c>
      <c r="B59" s="1" t="str">
        <f t="array" ref="B59">IF(F59="","",_xlfn.XLOOKUP(F59,Certificates!A:A,Certificates!D:D,"No match",0))</f>
        <v>Data &amp; Analysis</v>
      </c>
      <c r="C59" s="1" t="s">
        <v>287</v>
      </c>
      <c r="D59" s="1" t="s">
        <v>74</v>
      </c>
      <c r="E59" s="2" t="s">
        <v>442</v>
      </c>
      <c r="F59" s="5">
        <f t="array" ref="F59">IF(C59="","",_xlfn.XLOOKUP(C59,Certificates!B:B,Certificates!A:A,"No match",0))</f>
        <v>88</v>
      </c>
    </row>
    <row r="60">
      <c r="A60" s="1" t="s">
        <v>26</v>
      </c>
      <c r="B60" s="1" t="str">
        <f t="array" ref="B60">IF(F60="","",_xlfn.XLOOKUP(F60,Certificates!A:A,Certificates!D:D,"No match",0))</f>
        <v>AI</v>
      </c>
      <c r="C60" s="1" t="s">
        <v>293</v>
      </c>
      <c r="D60" s="1" t="s">
        <v>74</v>
      </c>
      <c r="E60" s="2" t="s">
        <v>448</v>
      </c>
      <c r="F60" s="5">
        <f t="array" ref="F60">IF(C60="","",_xlfn.XLOOKUP(C60,Certificates!B:B,Certificates!A:A,"No match",0))</f>
        <v>122</v>
      </c>
    </row>
    <row r="61">
      <c r="A61" s="1" t="s">
        <v>26</v>
      </c>
      <c r="B61" s="1" t="str">
        <f t="array" ref="B61">IF(F61="","",_xlfn.XLOOKUP(F61,Certificates!A:A,Certificates!D:D,"No match",0))</f>
        <v>Cloud &amp; Infrastructure</v>
      </c>
      <c r="C61" s="1" t="s">
        <v>138</v>
      </c>
      <c r="D61" s="1" t="s">
        <v>74</v>
      </c>
      <c r="E61" s="2" t="s">
        <v>454</v>
      </c>
      <c r="F61" s="5">
        <f t="array" ref="F61">IF(C61="","",_xlfn.XLOOKUP(C61,Certificates!B:B,Certificates!A:A,"No match",0))</f>
        <v>18</v>
      </c>
    </row>
    <row r="62">
      <c r="A62" s="1" t="s">
        <v>26</v>
      </c>
      <c r="B62" s="1" t="str">
        <f t="array" ref="B62">IF(F62="","",_xlfn.XLOOKUP(F62,Certificates!A:A,Certificates!D:D,"No match",0))</f>
        <v>Software &amp; IT</v>
      </c>
      <c r="C62" s="1" t="s">
        <v>304</v>
      </c>
      <c r="D62" s="1" t="s">
        <v>74</v>
      </c>
      <c r="E62" s="2" t="s">
        <v>458</v>
      </c>
      <c r="F62" s="5">
        <f t="array" ref="F62">IF(C62="","",_xlfn.XLOOKUP(C62,Certificates!B:B,Certificates!A:A,"No match",0))</f>
        <v>102</v>
      </c>
    </row>
    <row r="63">
      <c r="A63" s="1" t="s">
        <v>26</v>
      </c>
      <c r="B63" s="1" t="str">
        <f t="array" ref="B63">IF(F63="","",_xlfn.XLOOKUP(F63,Certificates!A:A,Certificates!D:D,"No match",0))</f>
        <v>Finance &amp; Accounting</v>
      </c>
      <c r="C63" s="1" t="s">
        <v>312</v>
      </c>
      <c r="D63" s="3" t="s">
        <v>78</v>
      </c>
      <c r="E63" s="2" t="s">
        <v>313</v>
      </c>
      <c r="F63" s="5">
        <f t="array" ref="F63">IF(C63="","",_xlfn.XLOOKUP(C63,Certificates!B:B,Certificates!A:A,"No match",0))</f>
        <v>103</v>
      </c>
    </row>
    <row r="64">
      <c r="A64" s="1" t="s">
        <v>26</v>
      </c>
      <c r="B64" s="1" t="str">
        <f t="array" ref="B64">IF(F64="","",_xlfn.XLOOKUP(F64,Certificates!A:A,Certificates!D:D,"No match",0))</f>
        <v>Finance &amp; Accounting</v>
      </c>
      <c r="C64" s="1" t="s">
        <v>317</v>
      </c>
      <c r="D64" s="3" t="s">
        <v>78</v>
      </c>
      <c r="E64" s="2" t="s">
        <v>318</v>
      </c>
      <c r="F64" s="5">
        <f t="array" ref="F64">IF(C64="","",_xlfn.XLOOKUP(C64,Certificates!B:B,Certificates!A:A,"No match",0))</f>
        <v>104</v>
      </c>
    </row>
    <row r="65">
      <c r="A65" s="1" t="s">
        <v>26</v>
      </c>
      <c r="B65" s="1" t="str">
        <f t="array" ref="B65">IF(F65="","",_xlfn.XLOOKUP(F65,Certificates!A:A,Certificates!D:D,"No match",0))</f>
        <v>Finance &amp; Accounting</v>
      </c>
      <c r="C65" s="1" t="s">
        <v>99</v>
      </c>
      <c r="D65" s="3" t="s">
        <v>78</v>
      </c>
      <c r="E65" s="2" t="s">
        <v>103</v>
      </c>
      <c r="F65" s="5">
        <f t="array" ref="F65">IF(C65="","",_xlfn.XLOOKUP(C65,Certificates!B:B,Certificates!A:A,"No match",0))</f>
        <v>11</v>
      </c>
    </row>
    <row r="66">
      <c r="A66" s="1" t="s">
        <v>26</v>
      </c>
      <c r="B66" s="1" t="str">
        <f t="array" ref="B66">IF(F66="","",_xlfn.XLOOKUP(F66,Certificates!A:A,Certificates!D:D,"No match",0))</f>
        <v>Finance &amp; Accounting</v>
      </c>
      <c r="C66" s="1" t="s">
        <v>324</v>
      </c>
      <c r="D66" s="3" t="s">
        <v>78</v>
      </c>
      <c r="E66" s="2" t="s">
        <v>325</v>
      </c>
      <c r="F66" s="5">
        <f t="array" ref="F66">IF(C66="","",_xlfn.XLOOKUP(C66,Certificates!B:B,Certificates!A:A,"No match",0))</f>
        <v>105</v>
      </c>
    </row>
    <row r="67">
      <c r="A67" s="1" t="s">
        <v>26</v>
      </c>
      <c r="B67" s="1" t="str">
        <f t="array" ref="B67">IF(F67="","",_xlfn.XLOOKUP(F67,Certificates!A:A,Certificates!D:D,"No match",0))</f>
        <v>Finance &amp; Accounting</v>
      </c>
      <c r="C67" s="1" t="s">
        <v>328</v>
      </c>
      <c r="D67" s="3" t="s">
        <v>78</v>
      </c>
      <c r="E67" s="2" t="s">
        <v>329</v>
      </c>
      <c r="F67" s="5">
        <f t="array" ref="F67">IF(C67="","",_xlfn.XLOOKUP(C67,Certificates!B:B,Certificates!A:A,"No match",0))</f>
        <v>106</v>
      </c>
    </row>
    <row r="68">
      <c r="A68" s="1" t="s">
        <v>26</v>
      </c>
      <c r="B68" s="1" t="str">
        <f t="array" ref="B68">IF(F68="","",_xlfn.XLOOKUP(F68,Certificates!A:A,Certificates!D:D,"No match",0))</f>
        <v>Consulting &amp; Strategy</v>
      </c>
      <c r="C68" s="1" t="s">
        <v>332</v>
      </c>
      <c r="D68" s="3" t="s">
        <v>78</v>
      </c>
      <c r="E68" s="2" t="s">
        <v>333</v>
      </c>
      <c r="F68" s="5">
        <f t="array" ref="F68">IF(C68="","",_xlfn.XLOOKUP(C68,Certificates!B:B,Certificates!A:A,"No match",0))</f>
        <v>107</v>
      </c>
    </row>
    <row r="69">
      <c r="A69" s="1" t="s">
        <v>26</v>
      </c>
      <c r="B69" s="1" t="str">
        <f t="array" ref="B69">IF(F69="","",_xlfn.XLOOKUP(F69,Certificates!A:A,Certificates!D:D,"No match",0))</f>
        <v>Consulting &amp; Strategy</v>
      </c>
      <c r="C69" s="1" t="s">
        <v>336</v>
      </c>
      <c r="D69" s="3" t="s">
        <v>78</v>
      </c>
      <c r="E69" s="2" t="s">
        <v>337</v>
      </c>
      <c r="F69" s="5">
        <f t="array" ref="F69">IF(C69="","",_xlfn.XLOOKUP(C69,Certificates!B:B,Certificates!A:A,"No match",0))</f>
        <v>108</v>
      </c>
    </row>
    <row r="70">
      <c r="A70" s="1" t="s">
        <v>26</v>
      </c>
      <c r="B70" s="1" t="str">
        <f t="array" ref="B70">IF(F70="","",_xlfn.XLOOKUP(F70,Certificates!A:A,Certificates!D:D,"No match",0))</f>
        <v>Consulting &amp; Strategy</v>
      </c>
      <c r="C70" s="1" t="s">
        <v>340</v>
      </c>
      <c r="D70" s="3" t="s">
        <v>78</v>
      </c>
      <c r="E70" s="2" t="s">
        <v>342</v>
      </c>
      <c r="F70" s="5">
        <f t="array" ref="F70">IF(C70="","",_xlfn.XLOOKUP(C70,Certificates!B:B,Certificates!A:A,"No match",0))</f>
        <v>109</v>
      </c>
    </row>
    <row r="71">
      <c r="A71" s="1" t="s">
        <v>26</v>
      </c>
      <c r="B71" s="1" t="str">
        <f t="array" ref="B71">IF(F71="","",_xlfn.XLOOKUP(F71,Certificates!A:A,Certificates!D:D,"No match",0))</f>
        <v>Business &amp; Management</v>
      </c>
      <c r="C71" s="1" t="s">
        <v>347</v>
      </c>
      <c r="D71" s="3" t="s">
        <v>78</v>
      </c>
      <c r="E71" s="2" t="s">
        <v>348</v>
      </c>
      <c r="F71" s="5">
        <f t="array" ref="F71">IF(C71="","",_xlfn.XLOOKUP(C71,Certificates!B:B,Certificates!A:A,"No match",0))</f>
        <v>110</v>
      </c>
    </row>
    <row r="72">
      <c r="A72" s="1" t="s">
        <v>26</v>
      </c>
      <c r="B72" s="1" t="str">
        <f t="array" ref="B72">IF(F72="","",_xlfn.XLOOKUP(F72,Certificates!A:A,Certificates!D:D,"No match",0))</f>
        <v>Business &amp; Management</v>
      </c>
      <c r="C72" s="1" t="s">
        <v>274</v>
      </c>
      <c r="D72" s="3" t="s">
        <v>78</v>
      </c>
      <c r="E72" s="2" t="s">
        <v>276</v>
      </c>
      <c r="F72" s="5">
        <f t="array" ref="F72">IF(C72="","",_xlfn.XLOOKUP(C72,Certificates!B:B,Certificates!A:A,"No match",0))</f>
        <v>67</v>
      </c>
    </row>
    <row r="73">
      <c r="A73" s="1" t="s">
        <v>26</v>
      </c>
      <c r="B73" s="1" t="str">
        <f t="array" ref="B73">IF(F73="","",_xlfn.XLOOKUP(F73,Certificates!A:A,Certificates!D:D,"No match",0))</f>
        <v>Marketing &amp; Sales</v>
      </c>
      <c r="C73" s="1" t="s">
        <v>353</v>
      </c>
      <c r="D73" s="3" t="s">
        <v>78</v>
      </c>
      <c r="E73" s="2" t="s">
        <v>354</v>
      </c>
      <c r="F73" s="5">
        <f t="array" ref="F73">IF(C73="","",_xlfn.XLOOKUP(C73,Certificates!B:B,Certificates!A:A,"No match",0))</f>
        <v>111</v>
      </c>
    </row>
    <row r="74">
      <c r="A74" s="1" t="s">
        <v>26</v>
      </c>
      <c r="B74" s="1" t="str">
        <f t="array" ref="B74">IF(F74="","",_xlfn.XLOOKUP(F74,Certificates!A:A,Certificates!D:D,"No match",0))</f>
        <v>Marketing &amp; Sales</v>
      </c>
      <c r="C74" s="1" t="s">
        <v>357</v>
      </c>
      <c r="D74" s="3" t="s">
        <v>78</v>
      </c>
      <c r="E74" s="2" t="s">
        <v>358</v>
      </c>
      <c r="F74" s="5">
        <f t="array" ref="F74">IF(C74="","",_xlfn.XLOOKUP(C74,Certificates!B:B,Certificates!A:A,"No match",0))</f>
        <v>112</v>
      </c>
    </row>
    <row r="75">
      <c r="A75" s="1" t="s">
        <v>26</v>
      </c>
      <c r="B75" s="1" t="str">
        <f t="array" ref="B75">IF(F75="","",_xlfn.XLOOKUP(F75,Certificates!A:A,Certificates!D:D,"No match",0))</f>
        <v>Marketing &amp; Sales</v>
      </c>
      <c r="C75" s="1" t="s">
        <v>362</v>
      </c>
      <c r="D75" s="3" t="s">
        <v>78</v>
      </c>
      <c r="E75" s="2" t="s">
        <v>364</v>
      </c>
      <c r="F75" s="5">
        <f t="array" ref="F75">IF(C75="","",_xlfn.XLOOKUP(C75,Certificates!B:B,Certificates!A:A,"No match",0))</f>
        <v>113</v>
      </c>
    </row>
    <row r="76">
      <c r="A76" s="1" t="s">
        <v>26</v>
      </c>
      <c r="B76" s="1" t="str">
        <f t="array" ref="B76">IF(F76="","",_xlfn.XLOOKUP(F76,Certificates!A:A,Certificates!D:D,"No match",0))</f>
        <v>Marketing &amp; Sales</v>
      </c>
      <c r="C76" s="1" t="s">
        <v>367</v>
      </c>
      <c r="D76" s="3" t="s">
        <v>78</v>
      </c>
      <c r="E76" s="2" t="s">
        <v>368</v>
      </c>
      <c r="F76" s="5">
        <f t="array" ref="F76">IF(C76="","",_xlfn.XLOOKUP(C76,Certificates!B:B,Certificates!A:A,"No match",0))</f>
        <v>114</v>
      </c>
    </row>
    <row r="77">
      <c r="A77" s="1" t="s">
        <v>26</v>
      </c>
      <c r="B77" s="1" t="str">
        <f t="array" ref="B77">IF(F77="","",_xlfn.XLOOKUP(F77,Certificates!A:A,Certificates!D:D,"No match",0))</f>
        <v>Marketing &amp; Sales</v>
      </c>
      <c r="C77" s="1" t="s">
        <v>374</v>
      </c>
      <c r="D77" s="3" t="s">
        <v>78</v>
      </c>
      <c r="E77" s="2" t="s">
        <v>375</v>
      </c>
      <c r="F77" s="5">
        <f t="array" ref="F77">IF(C77="","",_xlfn.XLOOKUP(C77,Certificates!B:B,Certificates!A:A,"No match",0))</f>
        <v>115</v>
      </c>
    </row>
    <row r="78">
      <c r="A78" s="1" t="s">
        <v>26</v>
      </c>
      <c r="B78" s="1" t="str">
        <f t="array" ref="B78">IF(F78="","",_xlfn.XLOOKUP(F78,Certificates!A:A,Certificates!D:D,"No match",0))</f>
        <v>Software &amp; IT</v>
      </c>
      <c r="C78" s="1" t="s">
        <v>380</v>
      </c>
      <c r="D78" s="3" t="s">
        <v>78</v>
      </c>
      <c r="E78" s="2" t="s">
        <v>382</v>
      </c>
      <c r="F78" s="5">
        <f t="array" ref="F78">IF(C78="","",_xlfn.XLOOKUP(C78,Certificates!B:B,Certificates!A:A,"No match",0))</f>
        <v>116</v>
      </c>
    </row>
    <row r="79">
      <c r="A79" s="1" t="s">
        <v>26</v>
      </c>
      <c r="B79" s="1" t="str">
        <f t="array" ref="B79">IF(F79="","",_xlfn.XLOOKUP(F79,Certificates!A:A,Certificates!D:D,"No match",0))</f>
        <v>Software &amp; IT</v>
      </c>
      <c r="C79" s="1" t="s">
        <v>386</v>
      </c>
      <c r="D79" s="3" t="s">
        <v>78</v>
      </c>
      <c r="E79" s="2" t="s">
        <v>387</v>
      </c>
      <c r="F79" s="5">
        <f t="array" ref="F79">IF(C79="","",_xlfn.XLOOKUP(C79,Certificates!B:B,Certificates!A:A,"No match",0))</f>
        <v>117</v>
      </c>
    </row>
    <row r="80">
      <c r="A80" s="1" t="s">
        <v>26</v>
      </c>
      <c r="B80" s="1" t="str">
        <f t="array" ref="B80">IF(F80="","",_xlfn.XLOOKUP(F80,Certificates!A:A,Certificates!D:D,"No match",0))</f>
        <v>Software &amp; IT</v>
      </c>
      <c r="C80" s="1" t="s">
        <v>390</v>
      </c>
      <c r="D80" s="3" t="s">
        <v>78</v>
      </c>
      <c r="E80" s="2" t="s">
        <v>391</v>
      </c>
      <c r="F80" s="5">
        <f t="array" ref="F80">IF(C80="","",_xlfn.XLOOKUP(C80,Certificates!B:B,Certificates!A:A,"No match",0))</f>
        <v>118</v>
      </c>
    </row>
    <row r="81">
      <c r="A81" s="1" t="s">
        <v>26</v>
      </c>
      <c r="B81" s="1" t="str">
        <f t="array" ref="B81">IF(F81="","",_xlfn.XLOOKUP(F81,Certificates!A:A,Certificates!D:D,"No match",0))</f>
        <v>Cybersecurity</v>
      </c>
      <c r="C81" s="1" t="s">
        <v>392</v>
      </c>
      <c r="D81" s="3" t="s">
        <v>78</v>
      </c>
      <c r="E81" s="2" t="s">
        <v>393</v>
      </c>
      <c r="F81" s="5">
        <f t="array" ref="F81">IF(C81="","",_xlfn.XLOOKUP(C81,Certificates!B:B,Certificates!A:A,"No match",0))</f>
        <v>119</v>
      </c>
    </row>
    <row r="82">
      <c r="A82" s="1" t="s">
        <v>26</v>
      </c>
      <c r="B82" s="1" t="str">
        <f t="array" ref="B82">IF(F82="","",_xlfn.XLOOKUP(F82,Certificates!A:A,Certificates!D:D,"No match",0))</f>
        <v>Data &amp; Analysis</v>
      </c>
      <c r="C82" s="1" t="s">
        <v>394</v>
      </c>
      <c r="D82" s="3" t="s">
        <v>78</v>
      </c>
      <c r="E82" s="2" t="s">
        <v>395</v>
      </c>
      <c r="F82" s="5">
        <f t="array" ref="F82">IF(C82="","",_xlfn.XLOOKUP(C82,Certificates!B:B,Certificates!A:A,"No match",0))</f>
        <v>120</v>
      </c>
    </row>
    <row r="83">
      <c r="A83" s="1" t="s">
        <v>26</v>
      </c>
      <c r="B83" s="1" t="str">
        <f t="array" ref="B83">IF(F83="","",_xlfn.XLOOKUP(F83,Certificates!A:A,Certificates!D:D,"No match",0))</f>
        <v>Data &amp; Analysis</v>
      </c>
      <c r="C83" s="1" t="s">
        <v>398</v>
      </c>
      <c r="D83" s="3" t="s">
        <v>78</v>
      </c>
      <c r="E83" s="2" t="s">
        <v>399</v>
      </c>
      <c r="F83" s="5">
        <f t="array" ref="F83">IF(C83="","",_xlfn.XLOOKUP(C83,Certificates!B:B,Certificates!A:A,"No match",0))</f>
        <v>121</v>
      </c>
    </row>
    <row r="84">
      <c r="A84" s="1" t="s">
        <v>26</v>
      </c>
      <c r="B84" s="1" t="str">
        <f t="array" ref="B84">IF(F84="","",_xlfn.XLOOKUP(F84,Certificates!A:A,Certificates!D:D,"No match",0))</f>
        <v>AI</v>
      </c>
      <c r="C84" s="1" t="s">
        <v>197</v>
      </c>
      <c r="D84" s="4" t="s">
        <v>92</v>
      </c>
      <c r="E84" s="2" t="s">
        <v>198</v>
      </c>
      <c r="F84" s="5">
        <f t="array" ref="F84">IF(C84="","",_xlfn.XLOOKUP(C84,Certificates!B:B,Certificates!A:A,"No match",0))</f>
        <v>69</v>
      </c>
    </row>
    <row r="85">
      <c r="A85" s="1" t="s">
        <v>26</v>
      </c>
      <c r="B85" s="1" t="str">
        <f t="array" ref="B85">IF(F85="","",_xlfn.XLOOKUP(F85,Certificates!A:A,Certificates!D:D,"No match",0))</f>
        <v>Software &amp; IT</v>
      </c>
      <c r="C85" s="1" t="s">
        <v>349</v>
      </c>
      <c r="D85" s="4" t="s">
        <v>92</v>
      </c>
      <c r="E85" s="2" t="s">
        <v>483</v>
      </c>
      <c r="F85" s="5">
        <f t="array" ref="F85">IF(C85="","",_xlfn.XLOOKUP(C85,Certificates!B:B,Certificates!A:A,"No match",0))</f>
        <v>86</v>
      </c>
    </row>
    <row r="86">
      <c r="A86" s="1" t="s">
        <v>26</v>
      </c>
      <c r="B86" s="1" t="str">
        <f t="array" ref="B86">IF(F86="","",_xlfn.XLOOKUP(F86,Certificates!A:A,Certificates!D:D,"No match",0))</f>
        <v>Cybersecurity</v>
      </c>
      <c r="C86" s="1" t="s">
        <v>239</v>
      </c>
      <c r="D86" s="4" t="s">
        <v>92</v>
      </c>
      <c r="E86" s="2" t="s">
        <v>484</v>
      </c>
      <c r="F86" s="5">
        <f t="array" ref="F86">IF(C86="","",_xlfn.XLOOKUP(C86,Certificates!B:B,Certificates!A:A,"No match",0))</f>
        <v>57</v>
      </c>
    </row>
    <row r="87">
      <c r="A87" s="1" t="s">
        <v>26</v>
      </c>
      <c r="B87" s="1" t="str">
        <f t="array" ref="B87">IF(F87="","",_xlfn.XLOOKUP(F87,Certificates!A:A,Certificates!D:D,"No match",0))</f>
        <v>Cybersecurity</v>
      </c>
      <c r="C87" s="1" t="s">
        <v>145</v>
      </c>
      <c r="D87" s="4" t="s">
        <v>92</v>
      </c>
      <c r="E87" s="2" t="s">
        <v>146</v>
      </c>
      <c r="F87" s="5">
        <f t="array" ref="F87">IF(C87="","",_xlfn.XLOOKUP(C87,Certificates!B:B,Certificates!A:A,"No match",0))</f>
        <v>19</v>
      </c>
    </row>
    <row r="88">
      <c r="A88" s="1" t="s">
        <v>26</v>
      </c>
      <c r="B88" s="1" t="str">
        <f t="array" ref="B88">IF(F88="","",_xlfn.XLOOKUP(F88,Certificates!A:A,Certificates!D:D,"No match",0))</f>
        <v>Others</v>
      </c>
      <c r="C88" s="1" t="s">
        <v>93</v>
      </c>
      <c r="D88" s="4" t="s">
        <v>92</v>
      </c>
      <c r="E88" s="4" t="s">
        <v>96</v>
      </c>
      <c r="F88" s="5">
        <f t="array" ref="F88">IF(C88="","",_xlfn.XLOOKUP(C88,Certificates!B:B,Certificates!A:A,"No match",0))</f>
        <v>10</v>
      </c>
    </row>
    <row r="89">
      <c r="A89" s="1" t="s">
        <v>26</v>
      </c>
      <c r="B89" s="1" t="str">
        <f t="array" ref="B89">IF(F89="","",_xlfn.XLOOKUP(F89,Certificates!A:A,Certificates!D:D,"No match",0))</f>
        <v>Software &amp; IT</v>
      </c>
      <c r="C89" s="1" t="s">
        <v>231</v>
      </c>
      <c r="D89" s="4" t="s">
        <v>92</v>
      </c>
      <c r="E89" s="2" t="s">
        <v>487</v>
      </c>
      <c r="F89" s="5">
        <f t="array" ref="F89">IF(C89="","",_xlfn.XLOOKUP(C89,Certificates!B:B,Certificates!A:A,"No match",0))</f>
        <v>65</v>
      </c>
    </row>
    <row r="90">
      <c r="A90" s="1" t="s">
        <v>26</v>
      </c>
      <c r="B90" s="1" t="str">
        <f t="array" ref="B90">IF(F90="","",_xlfn.XLOOKUP(F90,Certificates!A:A,Certificates!D:D,"No match",0))</f>
        <v>Marketing &amp; Sales</v>
      </c>
      <c r="C90" s="1" t="s">
        <v>179</v>
      </c>
      <c r="D90" s="4" t="s">
        <v>92</v>
      </c>
      <c r="E90" s="2" t="s">
        <v>488</v>
      </c>
      <c r="F90" s="5">
        <f t="array" ref="F90">IF(C90="","",_xlfn.XLOOKUP(C90,Certificates!B:B,Certificates!A:A,"No match",0))</f>
        <v>27</v>
      </c>
    </row>
    <row r="91">
      <c r="A91" s="1" t="s">
        <v>26</v>
      </c>
      <c r="B91" s="1" t="str">
        <f t="array" ref="B91">IF(F91="","",_xlfn.XLOOKUP(F91,Certificates!A:A,Certificates!D:D,"No match",0))</f>
        <v>Cloud &amp; Infrastructure</v>
      </c>
      <c r="C91" s="1" t="s">
        <v>221</v>
      </c>
      <c r="D91" s="4" t="s">
        <v>92</v>
      </c>
      <c r="E91" s="2" t="s">
        <v>489</v>
      </c>
      <c r="F91" s="5">
        <f t="array" ref="F91">IF(C91="","",_xlfn.XLOOKUP(C91,Certificates!B:B,Certificates!A:A,"No match",0))</f>
        <v>47</v>
      </c>
    </row>
    <row r="92">
      <c r="A92" s="1" t="s">
        <v>26</v>
      </c>
      <c r="B92" s="1" t="str">
        <f t="array" ref="B92">IF(F92="","",_xlfn.XLOOKUP(F92,Certificates!A:A,Certificates!D:D,"No match",0))</f>
        <v>Data &amp; Analysis</v>
      </c>
      <c r="C92" s="1" t="s">
        <v>45</v>
      </c>
      <c r="D92" s="4" t="s">
        <v>92</v>
      </c>
      <c r="E92" s="2" t="s">
        <v>490</v>
      </c>
      <c r="F92" s="5">
        <f t="array" ref="F92">IF(C92="","",_xlfn.XLOOKUP(C92,Certificates!B:B,Certificates!A:A,"No match",0))</f>
        <v>3</v>
      </c>
    </row>
    <row r="93">
      <c r="A93" s="1" t="s">
        <v>26</v>
      </c>
      <c r="B93" s="1" t="str">
        <f t="array" ref="B93">IF(F93="","",_xlfn.XLOOKUP(F93,Certificates!A:A,Certificates!D:D,"No match",0))</f>
        <v>Data &amp; Analysis</v>
      </c>
      <c r="C93" s="1" t="s">
        <v>35</v>
      </c>
      <c r="D93" s="4" t="s">
        <v>92</v>
      </c>
      <c r="E93" s="2" t="s">
        <v>491</v>
      </c>
      <c r="F93" s="5">
        <f t="array" ref="F93">IF(C93="","",_xlfn.XLOOKUP(C93,Certificates!B:B,Certificates!A:A,"No match",0))</f>
        <v>2</v>
      </c>
    </row>
    <row r="94">
      <c r="A94" s="1" t="s">
        <v>26</v>
      </c>
      <c r="B94" s="1" t="str">
        <f t="array" ref="B94">IF(F94="","",_xlfn.XLOOKUP(F94,Certificates!A:A,Certificates!D:D,"No match",0))</f>
        <v>Data &amp; Analysis</v>
      </c>
      <c r="C94" s="1" t="s">
        <v>52</v>
      </c>
      <c r="D94" s="4" t="s">
        <v>92</v>
      </c>
      <c r="E94" s="2" t="s">
        <v>492</v>
      </c>
      <c r="F94" s="5">
        <f t="array" ref="F94">IF(C94="","",_xlfn.XLOOKUP(C94,Certificates!B:B,Certificates!A:A,"No match",0))</f>
        <v>4</v>
      </c>
    </row>
    <row r="95">
      <c r="A95" s="1" t="s">
        <v>26</v>
      </c>
      <c r="B95" s="1" t="str">
        <f t="array" ref="B95">IF(F95="","",_xlfn.XLOOKUP(F95,Certificates!A:A,Certificates!D:D,"No match",0))</f>
        <v>Data &amp; Analysis</v>
      </c>
      <c r="C95" s="1" t="s">
        <v>330</v>
      </c>
      <c r="D95" s="4" t="s">
        <v>92</v>
      </c>
      <c r="E95" s="4" t="s">
        <v>331</v>
      </c>
      <c r="F95" s="5">
        <f t="array" ref="F95">IF(C95="","",_xlfn.XLOOKUP(C95,Certificates!B:B,Certificates!A:A,"No match",0))</f>
        <v>82</v>
      </c>
    </row>
    <row r="96">
      <c r="A96" s="1" t="s">
        <v>26</v>
      </c>
      <c r="B96" s="1" t="str">
        <f t="array" ref="B96">IF(F96="","",_xlfn.XLOOKUP(F96,Certificates!A:A,Certificates!D:D,"No match",0))</f>
        <v>AI</v>
      </c>
      <c r="C96" s="1" t="s">
        <v>334</v>
      </c>
      <c r="D96" s="4" t="s">
        <v>92</v>
      </c>
      <c r="E96" s="15" t="s">
        <v>335</v>
      </c>
      <c r="F96" s="5">
        <f t="array" ref="F96">IF(C96="","",_xlfn.XLOOKUP(C96,Certificates!B:B,Certificates!A:A,"No match",0))</f>
        <v>83</v>
      </c>
    </row>
    <row r="97">
      <c r="A97" s="1" t="s">
        <v>26</v>
      </c>
      <c r="B97" s="1" t="str">
        <f t="array" ref="B97">IF(F97="","",_xlfn.XLOOKUP(F97,Certificates!A:A,Certificates!D:D,"No match",0))</f>
        <v>Cloud &amp; Infrastructure</v>
      </c>
      <c r="C97" s="1" t="s">
        <v>151</v>
      </c>
      <c r="D97" s="4" t="s">
        <v>92</v>
      </c>
      <c r="E97" s="2" t="s">
        <v>152</v>
      </c>
      <c r="F97" s="5">
        <f t="array" ref="F97">IF(C97="","",_xlfn.XLOOKUP(C97,Certificates!B:B,Certificates!A:A,"No match",0))</f>
        <v>20</v>
      </c>
    </row>
    <row r="98">
      <c r="A98" s="1" t="s">
        <v>26</v>
      </c>
      <c r="B98" s="1" t="str">
        <f t="array" ref="B98">IF(F98="","",_xlfn.XLOOKUP(F98,Certificates!A:A,Certificates!D:D,"No match",0))</f>
        <v>Cloud &amp; Infrastructure</v>
      </c>
      <c r="C98" s="1" t="s">
        <v>202</v>
      </c>
      <c r="D98" s="4" t="s">
        <v>92</v>
      </c>
      <c r="E98" s="4" t="s">
        <v>203</v>
      </c>
      <c r="F98" s="5">
        <f t="array" ref="F98">IF(C98="","",_xlfn.XLOOKUP(C98,Certificates!B:B,Certificates!A:A,"No match",0))</f>
        <v>37</v>
      </c>
    </row>
    <row r="99">
      <c r="A99" s="1" t="s">
        <v>26</v>
      </c>
      <c r="B99" s="1" t="str">
        <f t="array" ref="B99">IF(F99="","",_xlfn.XLOOKUP(F99,Certificates!A:A,Certificates!D:D,"No match",0))</f>
        <v>Cloud &amp; Infrastructure</v>
      </c>
      <c r="C99" s="1" t="s">
        <v>204</v>
      </c>
      <c r="D99" s="4" t="s">
        <v>92</v>
      </c>
      <c r="E99" s="2" t="s">
        <v>205</v>
      </c>
      <c r="F99" s="5">
        <f t="array" ref="F99">IF(C99="","",_xlfn.XLOOKUP(C99,Certificates!B:B,Certificates!A:A,"No match",0))</f>
        <v>46</v>
      </c>
    </row>
    <row r="100">
      <c r="A100" s="1" t="s">
        <v>26</v>
      </c>
      <c r="B100" s="1" t="str">
        <f t="array" ref="B100">IF(F100="","",_xlfn.XLOOKUP(F100,Certificates!A:A,Certificates!D:D,"No match",0))</f>
        <v>Cloud &amp; Infrastructure</v>
      </c>
      <c r="C100" s="1" t="s">
        <v>242</v>
      </c>
      <c r="D100" s="4" t="s">
        <v>92</v>
      </c>
      <c r="E100" s="2" t="s">
        <v>493</v>
      </c>
      <c r="F100" s="5">
        <f t="array" ref="F100">IF(C100="","",_xlfn.XLOOKUP(C100,Certificates!B:B,Certificates!A:A,"No match",0))</f>
        <v>58</v>
      </c>
    </row>
    <row r="101">
      <c r="A101" s="1" t="s">
        <v>26</v>
      </c>
      <c r="B101" s="1" t="str">
        <f t="array" ref="B101">IF(F101="","",_xlfn.XLOOKUP(F101,Certificates!A:A,Certificates!D:D,"No match",0))</f>
        <v>Cloud &amp; Infrastructure</v>
      </c>
      <c r="C101" s="1" t="s">
        <v>244</v>
      </c>
      <c r="D101" s="4" t="s">
        <v>92</v>
      </c>
      <c r="E101" s="2" t="s">
        <v>494</v>
      </c>
      <c r="F101" s="5">
        <f t="array" ref="F101">IF(C101="","",_xlfn.XLOOKUP(C101,Certificates!B:B,Certificates!A:A,"No match",0))</f>
        <v>59</v>
      </c>
    </row>
    <row r="102">
      <c r="A102" s="1" t="s">
        <v>26</v>
      </c>
      <c r="B102" s="1" t="str">
        <f t="array" ref="B102">IF(F102="","",_xlfn.XLOOKUP(F102,Certificates!A:A,Certificates!D:D,"No match",0))</f>
        <v>Marketing &amp; Sales</v>
      </c>
      <c r="C102" s="1" t="s">
        <v>166</v>
      </c>
      <c r="D102" s="4" t="s">
        <v>92</v>
      </c>
      <c r="E102" s="2" t="s">
        <v>495</v>
      </c>
      <c r="F102" s="5">
        <f t="array" ref="F102">IF(C102="","",_xlfn.XLOOKUP(C102,Certificates!B:B,Certificates!A:A,"No match",0))</f>
        <v>23</v>
      </c>
    </row>
    <row r="103">
      <c r="A103" s="1" t="s">
        <v>26</v>
      </c>
      <c r="B103" s="1" t="str">
        <f t="array" ref="B103">IF(F103="","",_xlfn.XLOOKUP(F103,Certificates!A:A,Certificates!D:D,"No match",0))</f>
        <v>Business &amp; Management</v>
      </c>
      <c r="C103" s="1" t="s">
        <v>378</v>
      </c>
      <c r="D103" s="4" t="s">
        <v>92</v>
      </c>
      <c r="E103" s="2" t="s">
        <v>496</v>
      </c>
      <c r="F103" s="5">
        <f t="array" ref="F103">IF(C103="","",_xlfn.XLOOKUP(C103,Certificates!B:B,Certificates!A:A,"No match",0))</f>
        <v>95</v>
      </c>
    </row>
    <row r="104">
      <c r="A104" s="1" t="s">
        <v>26</v>
      </c>
      <c r="B104" s="1" t="str">
        <f t="array" ref="B104">IF(F104="","",_xlfn.XLOOKUP(F104,Certificates!A:A,Certificates!D:D,"No match",0))</f>
        <v>Cybersecurity</v>
      </c>
      <c r="C104" s="1" t="s">
        <v>369</v>
      </c>
      <c r="D104" s="4" t="s">
        <v>92</v>
      </c>
      <c r="E104" s="2" t="s">
        <v>497</v>
      </c>
      <c r="F104" s="5">
        <f t="array" ref="F104">IF(C104="","",_xlfn.XLOOKUP(C104,Certificates!B:B,Certificates!A:A,"No match",0))</f>
        <v>92</v>
      </c>
    </row>
    <row r="105">
      <c r="A105" s="1" t="s">
        <v>26</v>
      </c>
      <c r="B105" s="1" t="str">
        <f t="array" ref="B105">IF(F105="","",_xlfn.XLOOKUP(F105,Certificates!A:A,Certificates!D:D,"No match",0))</f>
        <v>Cybersecurity</v>
      </c>
      <c r="C105" s="1" t="s">
        <v>372</v>
      </c>
      <c r="D105" s="4" t="s">
        <v>92</v>
      </c>
      <c r="E105" s="2" t="s">
        <v>498</v>
      </c>
      <c r="F105" s="5">
        <f t="array" ref="F105">IF(C105="","",_xlfn.XLOOKUP(C105,Certificates!B:B,Certificates!A:A,"No match",0))</f>
        <v>93</v>
      </c>
    </row>
    <row r="106">
      <c r="A106" s="1" t="s">
        <v>26</v>
      </c>
      <c r="B106" s="1" t="str">
        <f t="array" ref="B106">IF(F106="","",_xlfn.XLOOKUP(F106,Certificates!A:A,Certificates!D:D,"No match",0))</f>
        <v>Cybersecurity</v>
      </c>
      <c r="C106" s="1" t="s">
        <v>376</v>
      </c>
      <c r="D106" s="4" t="s">
        <v>92</v>
      </c>
      <c r="E106" s="2" t="s">
        <v>499</v>
      </c>
      <c r="F106" s="5">
        <f t="array" ref="F106">IF(C106="","",_xlfn.XLOOKUP(C106,Certificates!B:B,Certificates!A:A,"No match",0))</f>
        <v>94</v>
      </c>
    </row>
    <row r="107">
      <c r="A107" s="1" t="s">
        <v>26</v>
      </c>
      <c r="B107" s="1" t="str">
        <f t="array" ref="B107">IF(F107="","",_xlfn.XLOOKUP(F107,Certificates!A:A,Certificates!D:D,"No match",0))</f>
        <v>Data &amp; Analysis</v>
      </c>
      <c r="C107" s="1" t="s">
        <v>383</v>
      </c>
      <c r="D107" s="4" t="s">
        <v>92</v>
      </c>
      <c r="E107" s="2" t="s">
        <v>500</v>
      </c>
      <c r="F107" s="5">
        <f t="array" ref="F107">IF(C107="","",_xlfn.XLOOKUP(C107,Certificates!B:B,Certificates!A:A,"No match",0))</f>
        <v>96</v>
      </c>
    </row>
    <row r="108">
      <c r="A108" s="1" t="s">
        <v>26</v>
      </c>
      <c r="B108" s="1" t="str">
        <f t="array" ref="B108">IF(F108="","",_xlfn.XLOOKUP(F108,Certificates!A:A,Certificates!D:D,"No match",0))</f>
        <v>AI</v>
      </c>
      <c r="C108" s="1" t="s">
        <v>282</v>
      </c>
      <c r="D108" s="4" t="s">
        <v>92</v>
      </c>
      <c r="E108" s="2" t="s">
        <v>283</v>
      </c>
      <c r="F108" s="5">
        <f t="array" ref="F108">IF(C108="","",_xlfn.XLOOKUP(C108,Certificates!B:B,Certificates!A:A,"No match",0))</f>
        <v>70</v>
      </c>
    </row>
    <row r="109">
      <c r="A109" s="1" t="s">
        <v>26</v>
      </c>
      <c r="B109" s="1" t="str">
        <f t="array" ref="B109">IF(F109="","",_xlfn.XLOOKUP(F109,Certificates!A:A,Certificates!D:D,"No match",0))</f>
        <v>Design &amp; Creativity</v>
      </c>
      <c r="C109" s="1" t="s">
        <v>388</v>
      </c>
      <c r="D109" s="4" t="s">
        <v>92</v>
      </c>
      <c r="E109" s="2" t="s">
        <v>249</v>
      </c>
      <c r="F109" s="5">
        <f t="array" ref="F109">IF(C109="","",_xlfn.XLOOKUP(C109,Certificates!B:B,Certificates!A:A,"No match",0))</f>
        <v>97</v>
      </c>
    </row>
    <row r="110">
      <c r="A110" s="1" t="s">
        <v>26</v>
      </c>
      <c r="B110" s="1" t="str">
        <f t="array" ref="B110">IF(F110="","",_xlfn.XLOOKUP(F110,Certificates!A:A,Certificates!D:D,"No match",0))</f>
        <v>Engineering &amp; Science</v>
      </c>
      <c r="C110" s="1" t="s">
        <v>396</v>
      </c>
      <c r="D110" s="4" t="s">
        <v>92</v>
      </c>
      <c r="E110" s="2" t="s">
        <v>397</v>
      </c>
      <c r="F110" s="5">
        <f t="array" ref="F110">IF(C110="","",_xlfn.XLOOKUP(C110,Certificates!B:B,Certificates!A:A,"No match",0))</f>
        <v>100</v>
      </c>
    </row>
    <row r="111">
      <c r="A111" s="1" t="s">
        <v>26</v>
      </c>
      <c r="B111" s="1" t="str">
        <f t="array" ref="B111">IF(F111="","",_xlfn.XLOOKUP(F111,Certificates!A:A,Certificates!D:D,"No match",0))</f>
        <v>Cybersecurity</v>
      </c>
      <c r="C111" s="1" t="s">
        <v>400</v>
      </c>
      <c r="D111" s="4" t="s">
        <v>92</v>
      </c>
      <c r="E111" s="2" t="s">
        <v>501</v>
      </c>
      <c r="F111" s="5">
        <f t="array" ref="F111">IF(C111="","",_xlfn.XLOOKUP(C111,Certificates!B:B,Certificates!A:A,"No match",0))</f>
        <v>101</v>
      </c>
    </row>
    <row r="112">
      <c r="A112" s="1" t="s">
        <v>26</v>
      </c>
      <c r="B112" s="1" t="str">
        <f t="array" ref="B112">IF(F112="","",_xlfn.XLOOKUP(F112,Certificates!A:A,Certificates!D:D,"No match",0))</f>
        <v>Design &amp; Creativity</v>
      </c>
      <c r="C112" s="1" t="s">
        <v>343</v>
      </c>
      <c r="D112" s="1" t="s">
        <v>116</v>
      </c>
      <c r="E112" s="2" t="s">
        <v>346</v>
      </c>
      <c r="F112" s="5">
        <f t="array" ref="F112">IF(C112="","",_xlfn.XLOOKUP(C112,Certificates!B:B,Certificates!A:A,"No match",0))</f>
        <v>85</v>
      </c>
    </row>
    <row r="113">
      <c r="A113" s="1" t="s">
        <v>26</v>
      </c>
      <c r="B113" s="1" t="str">
        <f t="array" ref="B113">IF(F113="","",_xlfn.XLOOKUP(F113,Certificates!A:A,Certificates!D:D,"No match",0))</f>
        <v>AI</v>
      </c>
      <c r="C113" s="1" t="s">
        <v>295</v>
      </c>
      <c r="D113" s="1" t="s">
        <v>116</v>
      </c>
      <c r="E113" s="4" t="s">
        <v>297</v>
      </c>
      <c r="F113" s="5">
        <f t="array" ref="F113">IF(C113="","",_xlfn.XLOOKUP(C113,Certificates!B:B,Certificates!A:A,"No match",0))</f>
        <v>73</v>
      </c>
    </row>
    <row r="114">
      <c r="A114" s="1" t="s">
        <v>26</v>
      </c>
      <c r="B114" s="1" t="str">
        <f t="array" ref="B114">IF(F114="","",_xlfn.XLOOKUP(F114,Certificates!A:A,Certificates!D:D,"No match",0))</f>
        <v>AI</v>
      </c>
      <c r="C114" s="1" t="s">
        <v>326</v>
      </c>
      <c r="D114" s="1" t="s">
        <v>116</v>
      </c>
      <c r="E114" s="2" t="s">
        <v>327</v>
      </c>
      <c r="F114" s="5">
        <f t="array" ref="F114">IF(C114="","",_xlfn.XLOOKUP(C114,Certificates!B:B,Certificates!A:A,"No match",0))</f>
        <v>81</v>
      </c>
    </row>
    <row r="115">
      <c r="A115" s="1" t="s">
        <v>26</v>
      </c>
      <c r="B115" s="1" t="str">
        <f t="array" ref="B115">IF(F115="","",_xlfn.XLOOKUP(F115,Certificates!A:A,Certificates!D:D,"No match",0))</f>
        <v>AI</v>
      </c>
      <c r="C115" s="1" t="s">
        <v>246</v>
      </c>
      <c r="D115" s="1" t="s">
        <v>116</v>
      </c>
      <c r="E115" s="4" t="s">
        <v>247</v>
      </c>
      <c r="F115" s="5">
        <f t="array" ref="F115">IF(C115="","",_xlfn.XLOOKUP(C115,Certificates!B:B,Certificates!A:A,"No match",0))</f>
        <v>60</v>
      </c>
    </row>
    <row r="116">
      <c r="A116" s="1" t="s">
        <v>26</v>
      </c>
      <c r="B116" s="1" t="str">
        <f t="array" ref="B116">IF(F116="","",_xlfn.XLOOKUP(F116,Certificates!A:A,Certificates!D:D,"No match",0))</f>
        <v>AI</v>
      </c>
      <c r="C116" s="1" t="s">
        <v>272</v>
      </c>
      <c r="D116" s="1" t="s">
        <v>116</v>
      </c>
      <c r="E116" s="2" t="s">
        <v>273</v>
      </c>
      <c r="F116" s="5">
        <f t="array" ref="F116">IF(C116="","",_xlfn.XLOOKUP(C116,Certificates!B:B,Certificates!A:A,"No match",0))</f>
        <v>66</v>
      </c>
    </row>
    <row r="117">
      <c r="A117" s="1" t="s">
        <v>26</v>
      </c>
      <c r="B117" s="1" t="str">
        <f t="array" ref="B117">IF(F117="","",_xlfn.XLOOKUP(F117,Certificates!A:A,Certificates!D:D,"No match",0))</f>
        <v>AI</v>
      </c>
      <c r="C117" s="1" t="s">
        <v>206</v>
      </c>
      <c r="D117" s="1" t="s">
        <v>116</v>
      </c>
      <c r="E117" s="2" t="s">
        <v>207</v>
      </c>
      <c r="F117" s="5">
        <f t="array" ref="F117">IF(C117="","",_xlfn.XLOOKUP(C117,Certificates!B:B,Certificates!A:A,"No match",0))</f>
        <v>38</v>
      </c>
    </row>
    <row r="118">
      <c r="A118" s="1" t="s">
        <v>26</v>
      </c>
      <c r="B118" s="1" t="str">
        <f t="array" ref="B118">IF(F118="","",_xlfn.XLOOKUP(F118,Certificates!A:A,Certificates!D:D,"No match",0))</f>
        <v>AI</v>
      </c>
      <c r="C118" s="1" t="s">
        <v>57</v>
      </c>
      <c r="D118" s="1" t="s">
        <v>116</v>
      </c>
      <c r="E118" s="2" t="s">
        <v>60</v>
      </c>
      <c r="F118" s="5">
        <f t="array" ref="F118">IF(C118="","",_xlfn.XLOOKUP(C118,Certificates!B:B,Certificates!A:A,"No match",0))</f>
        <v>5</v>
      </c>
    </row>
    <row r="119">
      <c r="A119" s="1" t="s">
        <v>26</v>
      </c>
      <c r="B119" s="1" t="str">
        <f t="array" ref="B119">IF(F119="","",_xlfn.XLOOKUP(F119,Certificates!A:A,Certificates!D:D,"No match",0))</f>
        <v>Others</v>
      </c>
      <c r="C119" s="1" t="s">
        <v>465</v>
      </c>
      <c r="D119" s="1" t="s">
        <v>116</v>
      </c>
      <c r="E119" s="2" t="s">
        <v>96</v>
      </c>
      <c r="F119" s="5">
        <f t="array" ref="F119">IF(C119="","",_xlfn.XLOOKUP(C119,Certificates!B:B,Certificates!A:A,"No match",0))</f>
        <v>10</v>
      </c>
    </row>
    <row r="120">
      <c r="A120" s="1" t="s">
        <v>26</v>
      </c>
      <c r="B120" s="1" t="str">
        <f t="array" ref="B120">IF(F120="","",_xlfn.XLOOKUP(F120,Certificates!A:A,Certificates!D:D,"No match",0))</f>
        <v>Marketing &amp; Sales</v>
      </c>
      <c r="C120" s="1" t="s">
        <v>365</v>
      </c>
      <c r="D120" s="1" t="s">
        <v>116</v>
      </c>
      <c r="E120" s="2" t="s">
        <v>366</v>
      </c>
      <c r="F120" s="5">
        <f t="array" ref="F120">IF(C120="","",_xlfn.XLOOKUP(C120,Certificates!B:B,Certificates!A:A,"No match",0))</f>
        <v>91</v>
      </c>
    </row>
    <row r="121">
      <c r="A121" s="1" t="s">
        <v>26</v>
      </c>
      <c r="B121" s="1" t="str">
        <f t="array" ref="B121">IF(F121="","",_xlfn.XLOOKUP(F121,Certificates!A:A,Certificates!D:D,"No match",0))</f>
        <v>Data &amp; Analysis</v>
      </c>
      <c r="C121" s="1" t="s">
        <v>24</v>
      </c>
      <c r="D121" s="1" t="s">
        <v>116</v>
      </c>
      <c r="E121" s="2" t="s">
        <v>29</v>
      </c>
      <c r="F121" s="5">
        <f t="array" ref="F121">IF(C121="","",_xlfn.XLOOKUP(C121,Certificates!B:B,Certificates!A:A,"No match",0))</f>
        <v>1</v>
      </c>
    </row>
    <row r="122">
      <c r="A122" s="1" t="s">
        <v>26</v>
      </c>
      <c r="B122" s="1" t="str">
        <f t="array" ref="B122">IF(F122="","",_xlfn.XLOOKUP(F122,Certificates!A:A,Certificates!D:D,"No match",0))</f>
        <v>Data &amp; Analysis</v>
      </c>
      <c r="C122" s="1" t="s">
        <v>359</v>
      </c>
      <c r="D122" s="1" t="s">
        <v>116</v>
      </c>
      <c r="E122" s="2" t="s">
        <v>361</v>
      </c>
      <c r="F122" s="5">
        <f t="array" ref="F122">IF(C122="","",_xlfn.XLOOKUP(C122,Certificates!B:B,Certificates!A:A,"No match",0))</f>
        <v>89</v>
      </c>
    </row>
    <row r="123">
      <c r="A123" s="1" t="s">
        <v>26</v>
      </c>
      <c r="B123" s="1" t="str">
        <f t="array" ref="B123">IF(F123="","",_xlfn.XLOOKUP(F123,Certificates!A:A,Certificates!D:D,"No match",0))</f>
        <v>Data &amp; Analysis</v>
      </c>
      <c r="C123" s="1" t="s">
        <v>252</v>
      </c>
      <c r="D123" s="1" t="s">
        <v>116</v>
      </c>
      <c r="E123" s="2" t="s">
        <v>253</v>
      </c>
      <c r="F123" s="5">
        <f t="array" ref="F123">IF(C123="","",_xlfn.XLOOKUP(C123,Certificates!B:B,Certificates!A:A,"No match",0))</f>
        <v>61</v>
      </c>
    </row>
    <row r="124">
      <c r="A124" s="1" t="s">
        <v>26</v>
      </c>
      <c r="B124" s="1" t="str">
        <f t="array" ref="B124">IF(F124="","",_xlfn.XLOOKUP(F124,Certificates!A:A,Certificates!D:D,"No match",0))</f>
        <v>Marketing &amp; Sales</v>
      </c>
      <c r="C124" s="1" t="s">
        <v>166</v>
      </c>
      <c r="D124" s="1" t="s">
        <v>116</v>
      </c>
      <c r="E124" s="2" t="s">
        <v>170</v>
      </c>
      <c r="F124" s="5">
        <f t="array" ref="F124">IF(C124="","",_xlfn.XLOOKUP(C124,Certificates!B:B,Certificates!A:A,"No match",0))</f>
        <v>23</v>
      </c>
    </row>
    <row r="125">
      <c r="A125" s="1" t="s">
        <v>26</v>
      </c>
      <c r="B125" s="1" t="str">
        <f t="array" ref="B125">IF(F125="","",_xlfn.XLOOKUP(F125,Certificates!A:A,Certificates!D:D,"No match",0))</f>
        <v>AI</v>
      </c>
      <c r="C125" s="1" t="s">
        <v>55</v>
      </c>
      <c r="D125" s="1" t="s">
        <v>116</v>
      </c>
      <c r="E125" s="2" t="s">
        <v>56</v>
      </c>
      <c r="F125" s="5">
        <f t="array" ref="F125">IF(C125="","",_xlfn.XLOOKUP(C125,Certificates!B:B,Certificates!A:A,"No match",0))</f>
        <v>31</v>
      </c>
    </row>
    <row r="126">
      <c r="A126" s="1" t="s">
        <v>26</v>
      </c>
      <c r="B126" s="1" t="str">
        <f t="array" ref="B126">IF(F126="","",_xlfn.XLOOKUP(F126,Certificates!A:A,Certificates!D:D,"No match",0))</f>
        <v>AI</v>
      </c>
      <c r="C126" s="1" t="s">
        <v>197</v>
      </c>
      <c r="D126" s="1" t="s">
        <v>124</v>
      </c>
      <c r="E126" s="2" t="s">
        <v>198</v>
      </c>
      <c r="F126" s="5">
        <f t="array" ref="F126">IF(C126="","",_xlfn.XLOOKUP(C126,Certificates!B:B,Certificates!A:A,"No match",0))</f>
        <v>69</v>
      </c>
    </row>
    <row r="127">
      <c r="A127" s="1" t="s">
        <v>26</v>
      </c>
      <c r="B127" s="1" t="str">
        <f t="array" ref="B127">IF(F127="","",_xlfn.XLOOKUP(F127,Certificates!A:A,Certificates!D:D,"No match",0))</f>
        <v>AI</v>
      </c>
      <c r="C127" s="1" t="s">
        <v>223</v>
      </c>
      <c r="D127" s="1" t="s">
        <v>124</v>
      </c>
      <c r="E127" s="2" t="s">
        <v>224</v>
      </c>
      <c r="F127" s="5">
        <f t="array" ref="F127">IF(C127="","",_xlfn.XLOOKUP(C127,Certificates!B:B,Certificates!A:A,"No match",0))</f>
        <v>48</v>
      </c>
    </row>
    <row r="128">
      <c r="A128" s="1" t="s">
        <v>26</v>
      </c>
      <c r="B128" s="1" t="str">
        <f t="array" ref="B128">IF(F128="","",_xlfn.XLOOKUP(F128,Certificates!A:A,Certificates!D:D,"No match",0))</f>
        <v>AI</v>
      </c>
      <c r="C128" s="1" t="s">
        <v>155</v>
      </c>
      <c r="D128" s="1" t="s">
        <v>124</v>
      </c>
      <c r="E128" s="4" t="s">
        <v>157</v>
      </c>
      <c r="F128" s="5">
        <f t="array" ref="F128">IF(C128="","",_xlfn.XLOOKUP(C128,Certificates!B:B,Certificates!A:A,"No match",0))</f>
        <v>21</v>
      </c>
    </row>
    <row r="129">
      <c r="A129" s="1" t="s">
        <v>26</v>
      </c>
      <c r="B129" s="1" t="str">
        <f t="array" ref="B129">IF(F129="","",_xlfn.XLOOKUP(F129,Certificates!A:A,Certificates!D:D,"No match",0))</f>
        <v>AI</v>
      </c>
      <c r="C129" s="1" t="s">
        <v>236</v>
      </c>
      <c r="D129" s="1" t="s">
        <v>124</v>
      </c>
      <c r="E129" s="2" t="s">
        <v>237</v>
      </c>
      <c r="F129" s="5">
        <f t="array" ref="F129">IF(C129="","",_xlfn.XLOOKUP(C129,Certificates!B:B,Certificates!A:A,"No match",0))</f>
        <v>87</v>
      </c>
    </row>
    <row r="130">
      <c r="A130" s="1" t="s">
        <v>26</v>
      </c>
      <c r="B130" s="1" t="str">
        <f t="array" ref="B130">IF(F130="","",_xlfn.XLOOKUP(F130,Certificates!A:A,Certificates!D:D,"No match",0))</f>
        <v>AI</v>
      </c>
      <c r="C130" s="1" t="s">
        <v>288</v>
      </c>
      <c r="D130" s="1" t="s">
        <v>124</v>
      </c>
      <c r="E130" s="2" t="s">
        <v>290</v>
      </c>
      <c r="F130" s="5">
        <f t="array" ref="F130">IF(C130="","",_xlfn.XLOOKUP(C130,Certificates!B:B,Certificates!A:A,"No match",0))</f>
        <v>71</v>
      </c>
    </row>
    <row r="131">
      <c r="A131" s="1" t="s">
        <v>26</v>
      </c>
      <c r="B131" s="1" t="str">
        <f t="array" ref="B131">IF(F131="","",_xlfn.XLOOKUP(F131,Certificates!A:A,Certificates!D:D,"No match",0))</f>
        <v>AI</v>
      </c>
      <c r="C131" s="1" t="s">
        <v>473</v>
      </c>
      <c r="D131" s="1" t="s">
        <v>128</v>
      </c>
      <c r="E131" s="2" t="s">
        <v>261</v>
      </c>
      <c r="F131" s="5">
        <f t="array" ref="F131">IF(C131="","",_xlfn.XLOOKUP(C131,Certificates!B:B,Certificates!A:A,"No match",0))</f>
        <v>63</v>
      </c>
    </row>
    <row r="132">
      <c r="A132" s="1" t="s">
        <v>26</v>
      </c>
      <c r="B132" s="1" t="str">
        <f t="array" ref="B132">IF(F132="","",_xlfn.XLOOKUP(F132,Certificates!A:A,Certificates!D:D,"No match",0))</f>
        <v>AI</v>
      </c>
      <c r="C132" s="1" t="s">
        <v>272</v>
      </c>
      <c r="D132" s="1" t="s">
        <v>128</v>
      </c>
      <c r="E132" s="2" t="s">
        <v>273</v>
      </c>
      <c r="F132" s="5">
        <f t="array" ref="F132">IF(C132="","",_xlfn.XLOOKUP(C132,Certificates!B:B,Certificates!A:A,"No match",0))</f>
        <v>66</v>
      </c>
    </row>
    <row r="133">
      <c r="A133" s="1" t="s">
        <v>26</v>
      </c>
      <c r="B133" s="1" t="str">
        <f t="array" ref="B133">IF(F133="","",_xlfn.XLOOKUP(F133,Certificates!A:A,Certificates!D:D,"No match",0))</f>
        <v>Cloud &amp; Infrastructure</v>
      </c>
      <c r="C133" s="1" t="s">
        <v>221</v>
      </c>
      <c r="D133" s="1" t="s">
        <v>128</v>
      </c>
      <c r="E133" s="2" t="s">
        <v>222</v>
      </c>
      <c r="F133" s="5">
        <f t="array" ref="F133">IF(C133="","",_xlfn.XLOOKUP(C133,Certificates!B:B,Certificates!A:A,"No match",0))</f>
        <v>47</v>
      </c>
    </row>
    <row r="134">
      <c r="A134" s="1" t="s">
        <v>26</v>
      </c>
      <c r="B134" s="1" t="str">
        <f t="array" ref="B134">IF(F134="","",_xlfn.XLOOKUP(F134,Certificates!A:A,Certificates!D:D,"No match",0))</f>
        <v>AI</v>
      </c>
      <c r="C134" s="1" t="s">
        <v>79</v>
      </c>
      <c r="D134" s="1" t="s">
        <v>130</v>
      </c>
      <c r="E134" s="2" t="s">
        <v>502</v>
      </c>
      <c r="F134" s="5">
        <f t="array" ref="F134">IF(C134="","",_xlfn.XLOOKUP(C134,Certificates!B:B,Certificates!A:A,"No match",0))</f>
        <v>28</v>
      </c>
    </row>
    <row r="135">
      <c r="A135" s="1" t="s">
        <v>26</v>
      </c>
      <c r="B135" s="1" t="str">
        <f t="array" ref="B135">IF(F135="","",_xlfn.XLOOKUP(F135,Certificates!A:A,Certificates!D:D,"No match",0))</f>
        <v>AI</v>
      </c>
      <c r="C135" s="1" t="s">
        <v>66</v>
      </c>
      <c r="D135" s="1" t="s">
        <v>130</v>
      </c>
      <c r="E135" s="2" t="s">
        <v>67</v>
      </c>
      <c r="F135" s="5">
        <f t="array" ref="F135">IF(C135="","",_xlfn.XLOOKUP(C135,Certificates!B:B,Certificates!A:A,"No match",0))</f>
        <v>6</v>
      </c>
    </row>
    <row r="136">
      <c r="A136" s="1" t="s">
        <v>26</v>
      </c>
      <c r="B136" s="1" t="str">
        <f t="array" ref="B136">IF(F136="","",_xlfn.XLOOKUP(F136,Certificates!A:A,Certificates!D:D,"No match",0))</f>
        <v>Software &amp; IT</v>
      </c>
      <c r="C136" s="1" t="s">
        <v>349</v>
      </c>
      <c r="D136" s="1" t="s">
        <v>130</v>
      </c>
      <c r="E136" s="2" t="s">
        <v>503</v>
      </c>
      <c r="F136" s="5">
        <f t="array" ref="F136">IF(C136="","",_xlfn.XLOOKUP(C136,Certificates!B:B,Certificates!A:A,"No match",0))</f>
        <v>86</v>
      </c>
    </row>
    <row r="137">
      <c r="A137" s="1" t="s">
        <v>26</v>
      </c>
      <c r="B137" s="1" t="str">
        <f t="array" ref="B137">IF(F137="","",_xlfn.XLOOKUP(F137,Certificates!A:A,Certificates!D:D,"No match",0))</f>
        <v>Marketing &amp; Sales</v>
      </c>
      <c r="C137" s="1" t="s">
        <v>166</v>
      </c>
      <c r="D137" s="1" t="s">
        <v>130</v>
      </c>
      <c r="E137" s="2" t="s">
        <v>504</v>
      </c>
      <c r="F137" s="5">
        <f t="array" ref="F137">IF(C137="","",_xlfn.XLOOKUP(C137,Certificates!B:B,Certificates!A:A,"No match",0))</f>
        <v>23</v>
      </c>
    </row>
    <row r="138">
      <c r="A138" s="1" t="s">
        <v>26</v>
      </c>
      <c r="B138" s="1" t="str">
        <f t="array" ref="B138">IF(F138="","",_xlfn.XLOOKUP(F138,Certificates!A:A,Certificates!D:D,"No match",0))</f>
        <v>Cybersecurity</v>
      </c>
      <c r="C138" s="1" t="s">
        <v>145</v>
      </c>
      <c r="D138" s="1" t="s">
        <v>130</v>
      </c>
      <c r="E138" s="2" t="s">
        <v>146</v>
      </c>
      <c r="F138" s="5">
        <f t="array" ref="F138">IF(C138="","",_xlfn.XLOOKUP(C138,Certificates!B:B,Certificates!A:A,"No match",0))</f>
        <v>19</v>
      </c>
    </row>
    <row r="139">
      <c r="A139" s="1" t="s">
        <v>26</v>
      </c>
      <c r="B139" s="1" t="str">
        <f t="array" ref="B139">IF(F139="","",_xlfn.XLOOKUP(F139,Certificates!A:A,Certificates!D:D,"No match",0))</f>
        <v>AI</v>
      </c>
      <c r="C139" s="1" t="s">
        <v>57</v>
      </c>
      <c r="D139" s="1" t="s">
        <v>141</v>
      </c>
      <c r="E139" s="2" t="s">
        <v>60</v>
      </c>
      <c r="F139" s="5">
        <f t="array" ref="F139">IF(C139="","",_xlfn.XLOOKUP(C139,Certificates!B:B,Certificates!A:A,"No match",0))</f>
        <v>5</v>
      </c>
    </row>
    <row r="140">
      <c r="A140" s="1" t="s">
        <v>26</v>
      </c>
      <c r="B140" s="1" t="str">
        <f t="array" ref="B140">IF(F140="","",_xlfn.XLOOKUP(F140,Certificates!A:A,Certificates!D:D,"No match",0))</f>
        <v>AI</v>
      </c>
      <c r="C140" s="1" t="s">
        <v>55</v>
      </c>
      <c r="D140" s="1" t="s">
        <v>141</v>
      </c>
      <c r="E140" s="2" t="s">
        <v>56</v>
      </c>
      <c r="F140" s="5">
        <f t="array" ref="F140">IF(C140="","",_xlfn.XLOOKUP(C140,Certificates!B:B,Certificates!A:A,"No match",0))</f>
        <v>31</v>
      </c>
    </row>
    <row r="141">
      <c r="A141" s="1" t="s">
        <v>26</v>
      </c>
      <c r="B141" s="1" t="str">
        <f t="array" ref="B141">IF(F141="","",_xlfn.XLOOKUP(F141,Certificates!A:A,Certificates!D:D,"No match",0))</f>
        <v>AI</v>
      </c>
      <c r="C141" s="1" t="s">
        <v>225</v>
      </c>
      <c r="D141" s="1" t="s">
        <v>141</v>
      </c>
      <c r="E141" s="2" t="s">
        <v>226</v>
      </c>
      <c r="F141" s="5">
        <f t="array" ref="F141">IF(C141="","",_xlfn.XLOOKUP(C141,Certificates!B:B,Certificates!A:A,"No match",0))</f>
        <v>49</v>
      </c>
    </row>
    <row r="142">
      <c r="A142" s="1" t="s">
        <v>26</v>
      </c>
      <c r="B142" s="1" t="str">
        <f t="array" ref="B142">IF(F142="","",_xlfn.XLOOKUP(F142,Certificates!A:A,Certificates!D:D,"No match",0))</f>
        <v>AI</v>
      </c>
      <c r="C142" s="1" t="s">
        <v>163</v>
      </c>
      <c r="D142" s="1" t="s">
        <v>141</v>
      </c>
      <c r="E142" s="2" t="s">
        <v>164</v>
      </c>
      <c r="F142" s="5">
        <f t="array" ref="F142">IF(C142="","",_xlfn.XLOOKUP(C142,Certificates!B:B,Certificates!A:A,"No match",0))</f>
        <v>22</v>
      </c>
    </row>
    <row r="143">
      <c r="A143" s="1" t="s">
        <v>26</v>
      </c>
      <c r="B143" s="1" t="str">
        <f t="array" ref="B143">IF(F143="","",_xlfn.XLOOKUP(F143,Certificates!A:A,Certificates!D:D,"No match",0))</f>
        <v>AI</v>
      </c>
      <c r="C143" s="1" t="s">
        <v>338</v>
      </c>
      <c r="D143" s="1" t="s">
        <v>141</v>
      </c>
      <c r="E143" s="2" t="s">
        <v>341</v>
      </c>
      <c r="F143" s="5">
        <f t="array" ref="F143">IF(C143="","",_xlfn.XLOOKUP(C143,Certificates!B:B,Certificates!A:A,"No match",0))</f>
        <v>84</v>
      </c>
    </row>
    <row r="144">
      <c r="A144" s="1" t="s">
        <v>26</v>
      </c>
      <c r="B144" s="1" t="str">
        <f t="array" ref="B144">IF(F144="","",_xlfn.XLOOKUP(F144,Certificates!A:A,Certificates!D:D,"No match",0))</f>
        <v>AI</v>
      </c>
      <c r="C144" s="1" t="s">
        <v>291</v>
      </c>
      <c r="D144" s="1" t="s">
        <v>141</v>
      </c>
      <c r="E144" s="2" t="s">
        <v>292</v>
      </c>
      <c r="F144" s="5">
        <f t="array" ref="F144">IF(C144="","",_xlfn.XLOOKUP(C144,Certificates!B:B,Certificates!A:A,"No match",0))</f>
        <v>72</v>
      </c>
    </row>
    <row r="145">
      <c r="A145" s="1" t="s">
        <v>26</v>
      </c>
      <c r="B145" s="1" t="str">
        <f t="array" ref="B145">IF(F145="","",_xlfn.XLOOKUP(F145,Certificates!A:A,Certificates!D:D,"No match",0))</f>
        <v>AI</v>
      </c>
      <c r="C145" s="1" t="s">
        <v>321</v>
      </c>
      <c r="D145" s="1" t="s">
        <v>141</v>
      </c>
      <c r="E145" s="2" t="s">
        <v>323</v>
      </c>
      <c r="F145" s="5">
        <f t="array" ref="F145">IF(C145="","",_xlfn.XLOOKUP(C145,Certificates!B:B,Certificates!A:A,"No match",0))</f>
        <v>80</v>
      </c>
    </row>
    <row r="146">
      <c r="A146" s="1" t="s">
        <v>26</v>
      </c>
      <c r="B146" s="1" t="str">
        <f t="array" ref="B146">IF(F146="","",_xlfn.XLOOKUP(F146,Certificates!A:A,Certificates!D:D,"No match",0))</f>
        <v>AI</v>
      </c>
      <c r="C146" s="1" t="s">
        <v>265</v>
      </c>
      <c r="D146" s="1" t="s">
        <v>141</v>
      </c>
      <c r="E146" s="2" t="s">
        <v>267</v>
      </c>
      <c r="F146" s="5">
        <f t="array" ref="F146">IF(C146="","",_xlfn.XLOOKUP(C146,Certificates!B:B,Certificates!A:A,"No match",0))</f>
        <v>64</v>
      </c>
    </row>
    <row r="147">
      <c r="A147" s="1" t="s">
        <v>26</v>
      </c>
      <c r="B147" s="1" t="str">
        <f t="array" ref="B147">IF(F147="","",_xlfn.XLOOKUP(F147,Certificates!A:A,Certificates!D:D,"No match",0))</f>
        <v>AI</v>
      </c>
      <c r="C147" s="1" t="s">
        <v>75</v>
      </c>
      <c r="D147" s="1" t="s">
        <v>153</v>
      </c>
      <c r="E147" s="2" t="s">
        <v>76</v>
      </c>
      <c r="F147" s="5">
        <f t="array" ref="F147">IF(C147="","",_xlfn.XLOOKUP(C147,Certificates!B:B,Certificates!A:A,"No match",0))</f>
        <v>7</v>
      </c>
    </row>
    <row r="148">
      <c r="A148" s="1" t="s">
        <v>26</v>
      </c>
      <c r="B148" s="1" t="str">
        <f t="array" ref="B148">IF(F148="","",_xlfn.XLOOKUP(F148,Certificates!A:A,Certificates!D:D,"No match",0))</f>
        <v>Software &amp; IT</v>
      </c>
      <c r="C148" s="1" t="s">
        <v>319</v>
      </c>
      <c r="D148" s="1" t="s">
        <v>153</v>
      </c>
      <c r="E148" s="2" t="s">
        <v>316</v>
      </c>
      <c r="F148" s="5">
        <f t="array" ref="F148">IF(C148="","",_xlfn.XLOOKUP(C148,Certificates!B:B,Certificates!A:A,"No match",0))</f>
        <v>79</v>
      </c>
    </row>
    <row r="149">
      <c r="A149" s="1" t="s">
        <v>26</v>
      </c>
      <c r="B149" s="1" t="str">
        <f t="array" ref="B149">IF(F149="","",_xlfn.XLOOKUP(F149,Certificates!A:A,Certificates!D:D,"No match",0))</f>
        <v>AI</v>
      </c>
      <c r="C149" s="1" t="s">
        <v>82</v>
      </c>
      <c r="D149" s="1" t="s">
        <v>153</v>
      </c>
      <c r="E149" s="2" t="s">
        <v>83</v>
      </c>
      <c r="F149" s="5">
        <f t="array" ref="F149">IF(C149="","",_xlfn.XLOOKUP(C149,Certificates!B:B,Certificates!A:A,"No match",0))</f>
        <v>8</v>
      </c>
    </row>
    <row r="150">
      <c r="A150" s="1" t="s">
        <v>26</v>
      </c>
      <c r="B150" s="1" t="str">
        <f t="array" ref="B150">IF(F150="","",_xlfn.XLOOKUP(F150,Certificates!A:A,Certificates!D:D,"No match",0))</f>
        <v>Software &amp; IT</v>
      </c>
      <c r="C150" s="1" t="s">
        <v>89</v>
      </c>
      <c r="D150" s="1" t="s">
        <v>153</v>
      </c>
      <c r="E150" s="2" t="s">
        <v>91</v>
      </c>
      <c r="F150" s="5">
        <f t="array" ref="F150">IF(C150="","",_xlfn.XLOOKUP(C150,Certificates!B:B,Certificates!A:A,"No match",0))</f>
        <v>9</v>
      </c>
    </row>
    <row r="151">
      <c r="A151" s="1" t="s">
        <v>26</v>
      </c>
      <c r="B151" s="1" t="str">
        <f t="array" ref="B151">IF(F151="","",_xlfn.XLOOKUP(F151,Certificates!A:A,Certificates!D:D,"No match",0))</f>
        <v>AI</v>
      </c>
      <c r="C151" s="1" t="s">
        <v>314</v>
      </c>
      <c r="D151" s="1" t="s">
        <v>153</v>
      </c>
      <c r="E151" s="2" t="s">
        <v>320</v>
      </c>
      <c r="F151" s="5">
        <f t="array" ref="F151">IF(C151="","",_xlfn.XLOOKUP(C151,Certificates!B:B,Certificates!A:A,"No match",0))</f>
        <v>78</v>
      </c>
    </row>
    <row r="152">
      <c r="A152" s="1" t="s">
        <v>26</v>
      </c>
      <c r="B152" s="1" t="str">
        <f t="array" ref="B152">IF(F152="","",_xlfn.XLOOKUP(F152,Certificates!A:A,Certificates!D:D,"No match",0))</f>
        <v>AI</v>
      </c>
      <c r="C152" s="1" t="s">
        <v>217</v>
      </c>
      <c r="D152" s="1" t="s">
        <v>153</v>
      </c>
      <c r="E152" s="2" t="s">
        <v>218</v>
      </c>
      <c r="F152" s="5">
        <f t="array" ref="F152">IF(C152="","",_xlfn.XLOOKUP(C152,Certificates!B:B,Certificates!A:A,"No match",0))</f>
        <v>44</v>
      </c>
    </row>
    <row r="153">
      <c r="A153" s="1" t="s">
        <v>26</v>
      </c>
      <c r="B153" s="1" t="str">
        <f t="array" ref="B153">IF(F153="","",_xlfn.XLOOKUP(F153,Certificates!A:A,Certificates!D:D,"No match",0))</f>
        <v>AI</v>
      </c>
      <c r="C153" s="1" t="s">
        <v>308</v>
      </c>
      <c r="D153" s="1" t="s">
        <v>153</v>
      </c>
      <c r="E153" s="2" t="s">
        <v>310</v>
      </c>
      <c r="F153" s="5">
        <f t="array" ref="F153">IF(C153="","",_xlfn.XLOOKUP(C153,Certificates!B:B,Certificates!A:A,"No match",0))</f>
        <v>77</v>
      </c>
    </row>
    <row r="154">
      <c r="A154" s="1" t="s">
        <v>26</v>
      </c>
      <c r="B154" s="1" t="str">
        <f t="array" ref="B154">IF(F154="","",_xlfn.XLOOKUP(F154,Certificates!A:A,Certificates!D:D,"No match",0))</f>
        <v>AI</v>
      </c>
      <c r="C154" s="1" t="s">
        <v>295</v>
      </c>
      <c r="D154" s="1" t="s">
        <v>153</v>
      </c>
      <c r="E154" s="2" t="s">
        <v>297</v>
      </c>
      <c r="F154" s="5">
        <f t="array" ref="F154">IF(C154="","",_xlfn.XLOOKUP(C154,Certificates!B:B,Certificates!A:A,"No match",0))</f>
        <v>73</v>
      </c>
    </row>
    <row r="155">
      <c r="A155" s="1" t="s">
        <v>26</v>
      </c>
      <c r="B155" s="1" t="str">
        <f t="array" ref="B155">IF(F155="","",_xlfn.XLOOKUP(F155,Certificates!A:A,Certificates!D:D,"No match",0))</f>
        <v>AI</v>
      </c>
      <c r="C155" s="1" t="s">
        <v>298</v>
      </c>
      <c r="D155" s="1" t="s">
        <v>153</v>
      </c>
      <c r="E155" s="2" t="s">
        <v>299</v>
      </c>
      <c r="F155" s="5">
        <f t="array" ref="F155">IF(C155="","",_xlfn.XLOOKUP(C155,Certificates!B:B,Certificates!A:A,"No match",0))</f>
        <v>74</v>
      </c>
    </row>
    <row r="156">
      <c r="A156" s="1" t="s">
        <v>26</v>
      </c>
      <c r="B156" s="1" t="str">
        <f t="array" ref="B156">IF(F156="","",_xlfn.XLOOKUP(F156,Certificates!A:A,Certificates!D:D,"No match",0))</f>
        <v>AI</v>
      </c>
      <c r="C156" s="1" t="s">
        <v>302</v>
      </c>
      <c r="D156" s="1" t="s">
        <v>153</v>
      </c>
      <c r="E156" s="2" t="s">
        <v>303</v>
      </c>
      <c r="F156" s="5">
        <f t="array" ref="F156">IF(C156="","",_xlfn.XLOOKUP(C156,Certificates!B:B,Certificates!A:A,"No match",0))</f>
        <v>75</v>
      </c>
    </row>
    <row r="157">
      <c r="A157" s="1" t="s">
        <v>26</v>
      </c>
      <c r="B157" s="1" t="str">
        <f t="array" ref="B157">IF(F157="","",_xlfn.XLOOKUP(F157,Certificates!A:A,Certificates!D:D,"No match",0))</f>
        <v>AI</v>
      </c>
      <c r="C157" s="1" t="s">
        <v>306</v>
      </c>
      <c r="D157" s="1" t="s">
        <v>153</v>
      </c>
      <c r="E157" s="2" t="s">
        <v>307</v>
      </c>
      <c r="F157" s="5">
        <f t="array" ref="F157">IF(C157="","",_xlfn.XLOOKUP(C157,Certificates!B:B,Certificates!A:A,"No match",0))</f>
        <v>76</v>
      </c>
    </row>
    <row r="158">
      <c r="A158" s="5"/>
      <c r="B158" s="5"/>
      <c r="D158" s="5"/>
      <c r="F158" s="5" t="str">
        <f t="array" ref="F158">IF(C158="","",_xlfn.XLOOKUP(C158,Certificates!B:B,Certificates!A:A,"No match",0))</f>
        <v/>
      </c>
    </row>
    <row r="159">
      <c r="A159" s="5"/>
      <c r="B159" s="5"/>
      <c r="D159" s="5"/>
    </row>
    <row r="160">
      <c r="A160" s="5"/>
      <c r="B160" s="5"/>
      <c r="D160" s="5"/>
    </row>
    <row r="161">
      <c r="A161" s="5"/>
      <c r="B161" s="5"/>
      <c r="D161" s="5"/>
    </row>
    <row r="162">
      <c r="A162" s="5"/>
      <c r="B162" s="5"/>
      <c r="D162" s="5"/>
    </row>
    <row r="163">
      <c r="A163" s="5"/>
      <c r="B163" s="5"/>
      <c r="D163" s="5"/>
    </row>
    <row r="164">
      <c r="A164" s="5"/>
      <c r="B164" s="5"/>
      <c r="D164" s="5"/>
    </row>
    <row r="165">
      <c r="A165" s="5"/>
      <c r="B165" s="5"/>
      <c r="D165" s="5"/>
    </row>
    <row r="166">
      <c r="A166" s="5"/>
      <c r="B166" s="5"/>
      <c r="D166" s="5"/>
    </row>
    <row r="167">
      <c r="A167" s="5"/>
      <c r="B167" s="5"/>
      <c r="D167" s="5"/>
    </row>
    <row r="168">
      <c r="A168" s="5"/>
      <c r="B168" s="5"/>
      <c r="C168" s="17"/>
      <c r="D168" s="5"/>
    </row>
    <row r="169">
      <c r="A169" s="5"/>
      <c r="B169" s="5"/>
      <c r="D169" s="5"/>
    </row>
    <row r="170">
      <c r="A170" s="5"/>
      <c r="B170" s="5"/>
      <c r="D170" s="5"/>
    </row>
    <row r="171">
      <c r="A171" s="5"/>
      <c r="B171" s="5"/>
      <c r="D171" s="5"/>
    </row>
    <row r="172">
      <c r="A172" s="5"/>
      <c r="B172" s="5"/>
      <c r="D172" s="5"/>
    </row>
    <row r="173">
      <c r="A173" s="5"/>
      <c r="B173" s="5"/>
      <c r="D173" s="5"/>
    </row>
    <row r="174">
      <c r="A174" s="5"/>
      <c r="B174" s="5"/>
      <c r="D174" s="5"/>
    </row>
    <row r="175">
      <c r="A175" s="5"/>
      <c r="B175" s="5"/>
      <c r="D175" s="5"/>
    </row>
    <row r="176">
      <c r="A176" s="5"/>
      <c r="B176" s="5"/>
      <c r="D176" s="5"/>
    </row>
    <row r="177">
      <c r="A177" s="5"/>
      <c r="B177" s="5"/>
      <c r="D177" s="5"/>
    </row>
    <row r="178">
      <c r="A178" s="5"/>
      <c r="B178" s="5"/>
      <c r="D178" s="5"/>
    </row>
    <row r="179">
      <c r="A179" s="5"/>
      <c r="B179" s="5"/>
      <c r="D179" s="5"/>
    </row>
    <row r="180">
      <c r="A180" s="5"/>
      <c r="B180" s="5"/>
      <c r="D180" s="5"/>
    </row>
    <row r="181">
      <c r="A181" s="5"/>
      <c r="B181" s="5"/>
      <c r="D181" s="5"/>
    </row>
    <row r="182">
      <c r="A182" s="5"/>
      <c r="B182" s="5"/>
      <c r="D182" s="5"/>
    </row>
    <row r="183">
      <c r="A183" s="5"/>
      <c r="B183" s="5"/>
      <c r="D183" s="5"/>
    </row>
    <row r="184">
      <c r="A184" s="5"/>
      <c r="B184" s="5"/>
      <c r="D184" s="5"/>
    </row>
    <row r="185">
      <c r="A185" s="5"/>
      <c r="B185" s="5"/>
      <c r="D185" s="5"/>
    </row>
    <row r="186">
      <c r="A186" s="5"/>
      <c r="B186" s="5"/>
      <c r="D186" s="5"/>
    </row>
    <row r="187">
      <c r="A187" s="5"/>
      <c r="B187" s="5"/>
      <c r="D187" s="5"/>
    </row>
    <row r="188">
      <c r="A188" s="5"/>
      <c r="B188" s="5"/>
      <c r="D188" s="5"/>
    </row>
    <row r="189">
      <c r="A189" s="5"/>
      <c r="B189" s="5"/>
      <c r="D189" s="5"/>
    </row>
    <row r="190">
      <c r="A190" s="5"/>
      <c r="B190" s="5"/>
      <c r="D190" s="5"/>
    </row>
    <row r="191">
      <c r="A191" s="5"/>
      <c r="B191" s="5"/>
      <c r="D191" s="5"/>
    </row>
    <row r="192">
      <c r="A192" s="5"/>
      <c r="B192" s="5"/>
      <c r="D192" s="5"/>
    </row>
    <row r="193">
      <c r="A193" s="5"/>
      <c r="B193" s="5"/>
      <c r="D193" s="5"/>
    </row>
    <row r="194">
      <c r="A194" s="5"/>
      <c r="B194" s="5"/>
      <c r="D194" s="5"/>
    </row>
    <row r="195">
      <c r="A195" s="5"/>
      <c r="B195" s="5"/>
      <c r="D195" s="5"/>
    </row>
    <row r="196">
      <c r="A196" s="5"/>
      <c r="B196" s="5"/>
      <c r="D196" s="5"/>
    </row>
    <row r="197">
      <c r="A197" s="5"/>
      <c r="B197" s="5"/>
      <c r="D197" s="5"/>
    </row>
    <row r="198">
      <c r="A198" s="5"/>
      <c r="B198" s="5"/>
      <c r="D198" s="5"/>
    </row>
    <row r="199">
      <c r="A199" s="5"/>
      <c r="B199" s="5"/>
      <c r="D199" s="5"/>
    </row>
    <row r="200">
      <c r="A200" s="5"/>
      <c r="B200" s="5"/>
      <c r="D200" s="5"/>
    </row>
    <row r="201">
      <c r="A201" s="5"/>
      <c r="B201" s="5"/>
      <c r="D201" s="5"/>
    </row>
    <row r="202">
      <c r="A202" s="5"/>
      <c r="B202" s="5"/>
      <c r="D202" s="5"/>
    </row>
    <row r="203">
      <c r="A203" s="5"/>
      <c r="B203" s="5"/>
      <c r="D203" s="5"/>
    </row>
    <row r="204">
      <c r="A204" s="5"/>
      <c r="B204" s="5"/>
      <c r="D204" s="5"/>
    </row>
    <row r="205">
      <c r="A205" s="5"/>
      <c r="B205" s="5"/>
      <c r="D205" s="5"/>
    </row>
    <row r="206">
      <c r="A206" s="5"/>
      <c r="B206" s="5"/>
      <c r="D206" s="5"/>
    </row>
    <row r="207">
      <c r="A207" s="5"/>
      <c r="B207" s="5"/>
      <c r="D207" s="5"/>
    </row>
    <row r="208">
      <c r="A208" s="5"/>
      <c r="B208" s="5"/>
      <c r="D208" s="5"/>
    </row>
    <row r="209">
      <c r="A209" s="5"/>
      <c r="B209" s="5"/>
      <c r="D209" s="5"/>
    </row>
    <row r="210">
      <c r="A210" s="5"/>
      <c r="B210" s="5"/>
      <c r="D210" s="5"/>
    </row>
    <row r="211">
      <c r="A211" s="5"/>
      <c r="B211" s="5"/>
      <c r="D211" s="5"/>
    </row>
    <row r="212">
      <c r="A212" s="5"/>
      <c r="B212" s="5"/>
      <c r="D212" s="5"/>
    </row>
    <row r="213">
      <c r="A213" s="5"/>
      <c r="B213" s="5"/>
      <c r="D213" s="5"/>
    </row>
    <row r="214">
      <c r="A214" s="5"/>
      <c r="B214" s="5"/>
      <c r="D214" s="5"/>
    </row>
    <row r="215">
      <c r="A215" s="5"/>
      <c r="B215" s="5"/>
      <c r="D215" s="5"/>
    </row>
    <row r="216">
      <c r="A216" s="5"/>
      <c r="B216" s="5"/>
      <c r="D216" s="5"/>
    </row>
    <row r="217">
      <c r="A217" s="5"/>
      <c r="B217" s="5"/>
      <c r="D217" s="5"/>
    </row>
    <row r="218">
      <c r="A218" s="5"/>
      <c r="B218" s="5"/>
      <c r="D218" s="5"/>
    </row>
    <row r="219">
      <c r="A219" s="5"/>
      <c r="B219" s="5"/>
      <c r="D219" s="5"/>
    </row>
    <row r="220">
      <c r="A220" s="5"/>
      <c r="B220" s="5"/>
      <c r="D220" s="5"/>
    </row>
    <row r="221">
      <c r="A221" s="5"/>
      <c r="B221" s="5"/>
      <c r="D221" s="5"/>
    </row>
    <row r="222">
      <c r="A222" s="5"/>
      <c r="B222" s="5"/>
      <c r="D222" s="5"/>
    </row>
    <row r="223">
      <c r="A223" s="5"/>
      <c r="B223" s="5"/>
      <c r="D223" s="5"/>
    </row>
    <row r="224">
      <c r="A224" s="5"/>
      <c r="B224" s="5"/>
      <c r="D224" s="5"/>
    </row>
    <row r="225">
      <c r="A225" s="5"/>
      <c r="B225" s="5"/>
      <c r="D225" s="5"/>
    </row>
    <row r="226">
      <c r="A226" s="5"/>
      <c r="B226" s="5"/>
      <c r="D226" s="5"/>
    </row>
    <row r="227">
      <c r="A227" s="5"/>
      <c r="B227" s="5"/>
      <c r="D227" s="5"/>
    </row>
    <row r="228">
      <c r="A228" s="5"/>
      <c r="B228" s="5"/>
      <c r="D228" s="5"/>
    </row>
    <row r="229">
      <c r="A229" s="5"/>
      <c r="B229" s="5"/>
      <c r="D229" s="5"/>
    </row>
    <row r="230">
      <c r="A230" s="5"/>
      <c r="B230" s="5"/>
      <c r="D230" s="5"/>
    </row>
    <row r="231">
      <c r="A231" s="5"/>
      <c r="B231" s="5"/>
      <c r="D231" s="5"/>
    </row>
    <row r="232">
      <c r="A232" s="5"/>
      <c r="B232" s="5"/>
      <c r="D232" s="5"/>
    </row>
    <row r="233">
      <c r="A233" s="5"/>
      <c r="B233" s="5"/>
      <c r="D233" s="5"/>
    </row>
    <row r="234">
      <c r="A234" s="5"/>
      <c r="B234" s="5"/>
      <c r="D234" s="5"/>
    </row>
    <row r="235">
      <c r="A235" s="5"/>
      <c r="B235" s="5"/>
      <c r="D235" s="5"/>
    </row>
    <row r="236">
      <c r="A236" s="5"/>
      <c r="B236" s="5"/>
      <c r="D236" s="5"/>
    </row>
    <row r="237">
      <c r="A237" s="5"/>
      <c r="B237" s="5"/>
      <c r="D237" s="5"/>
    </row>
    <row r="238">
      <c r="A238" s="5"/>
      <c r="B238" s="5"/>
      <c r="D238" s="5"/>
    </row>
    <row r="239">
      <c r="A239" s="5"/>
      <c r="B239" s="5"/>
      <c r="D239" s="5"/>
    </row>
    <row r="240">
      <c r="A240" s="5"/>
      <c r="B240" s="5"/>
      <c r="D240" s="5"/>
    </row>
    <row r="241">
      <c r="A241" s="5"/>
      <c r="B241" s="5"/>
      <c r="D241" s="5"/>
    </row>
    <row r="242">
      <c r="A242" s="5"/>
      <c r="B242" s="5"/>
      <c r="D242" s="5"/>
    </row>
    <row r="243">
      <c r="A243" s="5"/>
      <c r="B243" s="5"/>
      <c r="D243" s="5"/>
    </row>
    <row r="244">
      <c r="A244" s="5"/>
      <c r="B244" s="5"/>
      <c r="D244" s="5"/>
    </row>
    <row r="245">
      <c r="A245" s="5"/>
      <c r="B245" s="5"/>
      <c r="D245" s="5"/>
    </row>
    <row r="246">
      <c r="A246" s="5"/>
      <c r="B246" s="5"/>
      <c r="D246" s="5"/>
    </row>
    <row r="247">
      <c r="A247" s="5"/>
      <c r="B247" s="5"/>
      <c r="D247" s="5"/>
    </row>
    <row r="248">
      <c r="A248" s="5"/>
      <c r="B248" s="5"/>
      <c r="D248" s="5"/>
    </row>
    <row r="249">
      <c r="A249" s="5"/>
      <c r="B249" s="5"/>
      <c r="D249" s="5"/>
    </row>
    <row r="250">
      <c r="A250" s="5"/>
      <c r="B250" s="5"/>
      <c r="D250" s="5"/>
    </row>
    <row r="251">
      <c r="A251" s="5"/>
      <c r="B251" s="5"/>
      <c r="D251" s="5"/>
    </row>
    <row r="252">
      <c r="A252" s="5"/>
      <c r="B252" s="5"/>
      <c r="D252" s="5"/>
    </row>
    <row r="253">
      <c r="A253" s="5"/>
      <c r="B253" s="5"/>
      <c r="D253" s="5"/>
    </row>
    <row r="254">
      <c r="A254" s="5"/>
      <c r="B254" s="5"/>
      <c r="D254" s="5"/>
    </row>
    <row r="255">
      <c r="A255" s="5"/>
      <c r="B255" s="5"/>
      <c r="D255" s="5"/>
    </row>
    <row r="256">
      <c r="A256" s="5"/>
      <c r="B256" s="5"/>
      <c r="D256" s="5"/>
    </row>
    <row r="257">
      <c r="A257" s="5"/>
      <c r="B257" s="5"/>
      <c r="D257" s="5"/>
    </row>
    <row r="258">
      <c r="A258" s="5"/>
      <c r="B258" s="5"/>
      <c r="D258" s="5"/>
    </row>
    <row r="259">
      <c r="A259" s="5"/>
      <c r="B259" s="5"/>
      <c r="D259" s="5"/>
    </row>
    <row r="260">
      <c r="A260" s="5"/>
      <c r="B260" s="5"/>
      <c r="D260" s="5"/>
    </row>
    <row r="261">
      <c r="A261" s="5"/>
      <c r="B261" s="5"/>
      <c r="D261" s="5"/>
    </row>
    <row r="262">
      <c r="A262" s="5"/>
      <c r="B262" s="5"/>
      <c r="D262" s="5"/>
    </row>
    <row r="263">
      <c r="A263" s="5"/>
      <c r="B263" s="5"/>
      <c r="D263" s="5"/>
    </row>
    <row r="264">
      <c r="A264" s="5"/>
      <c r="B264" s="5"/>
      <c r="D264" s="5"/>
    </row>
    <row r="265">
      <c r="A265" s="5"/>
      <c r="B265" s="5"/>
      <c r="D265" s="5"/>
    </row>
    <row r="266">
      <c r="A266" s="5"/>
      <c r="B266" s="5"/>
      <c r="D266" s="5"/>
    </row>
    <row r="267">
      <c r="A267" s="5"/>
      <c r="B267" s="5"/>
      <c r="D267" s="5"/>
    </row>
    <row r="268">
      <c r="A268" s="5"/>
      <c r="B268" s="5"/>
      <c r="D268" s="5"/>
    </row>
    <row r="269">
      <c r="A269" s="5"/>
      <c r="B269" s="5"/>
      <c r="D269" s="5"/>
    </row>
    <row r="270">
      <c r="A270" s="5"/>
      <c r="B270" s="5"/>
      <c r="D270" s="5"/>
    </row>
    <row r="271">
      <c r="A271" s="5"/>
      <c r="B271" s="5"/>
      <c r="D271" s="5"/>
    </row>
    <row r="272">
      <c r="A272" s="5"/>
      <c r="B272" s="5"/>
      <c r="D272" s="5"/>
    </row>
    <row r="273">
      <c r="A273" s="5"/>
      <c r="B273" s="5"/>
      <c r="D273" s="5"/>
    </row>
    <row r="274">
      <c r="A274" s="5"/>
      <c r="B274" s="5"/>
      <c r="D274" s="5"/>
    </row>
    <row r="275">
      <c r="A275" s="5"/>
      <c r="B275" s="5"/>
      <c r="D275" s="5"/>
    </row>
    <row r="276">
      <c r="A276" s="5"/>
      <c r="B276" s="5"/>
      <c r="D276" s="5"/>
    </row>
    <row r="277">
      <c r="A277" s="5"/>
      <c r="B277" s="5"/>
      <c r="D277" s="5"/>
    </row>
    <row r="278">
      <c r="A278" s="5"/>
      <c r="B278" s="5"/>
      <c r="D278" s="5"/>
    </row>
    <row r="279">
      <c r="A279" s="5"/>
      <c r="B279" s="5"/>
      <c r="D279" s="5"/>
    </row>
    <row r="280">
      <c r="A280" s="5"/>
      <c r="B280" s="5"/>
      <c r="D280" s="5"/>
    </row>
    <row r="281">
      <c r="A281" s="5"/>
      <c r="B281" s="5"/>
      <c r="D281" s="5"/>
    </row>
    <row r="282">
      <c r="A282" s="5"/>
      <c r="B282" s="5"/>
      <c r="D282" s="5"/>
    </row>
    <row r="283">
      <c r="A283" s="5"/>
      <c r="B283" s="5"/>
      <c r="D283" s="5"/>
    </row>
    <row r="284">
      <c r="A284" s="5"/>
      <c r="B284" s="5"/>
      <c r="D284" s="5"/>
    </row>
    <row r="285">
      <c r="A285" s="5"/>
      <c r="B285" s="5"/>
      <c r="D285" s="5"/>
    </row>
    <row r="286">
      <c r="A286" s="5"/>
      <c r="B286" s="5"/>
      <c r="D286" s="5"/>
    </row>
    <row r="287">
      <c r="A287" s="5"/>
      <c r="B287" s="5"/>
      <c r="D287" s="5"/>
    </row>
    <row r="288">
      <c r="A288" s="5"/>
      <c r="B288" s="5"/>
      <c r="D288" s="5"/>
    </row>
    <row r="289">
      <c r="A289" s="5"/>
      <c r="B289" s="5"/>
      <c r="D289" s="5"/>
    </row>
    <row r="290">
      <c r="A290" s="5"/>
      <c r="B290" s="5"/>
      <c r="D290" s="5"/>
    </row>
    <row r="291">
      <c r="A291" s="5"/>
      <c r="B291" s="5"/>
      <c r="D291" s="5"/>
    </row>
    <row r="292">
      <c r="A292" s="5"/>
      <c r="B292" s="5"/>
      <c r="D292" s="5"/>
    </row>
    <row r="293">
      <c r="A293" s="5"/>
      <c r="B293" s="5"/>
      <c r="D293" s="5"/>
    </row>
    <row r="294">
      <c r="A294" s="5"/>
      <c r="B294" s="5"/>
      <c r="D294" s="5"/>
    </row>
    <row r="295">
      <c r="A295" s="5"/>
      <c r="B295" s="5"/>
      <c r="D295" s="5"/>
    </row>
    <row r="296">
      <c r="A296" s="5"/>
      <c r="B296" s="5"/>
      <c r="D296" s="5"/>
    </row>
    <row r="297">
      <c r="A297" s="5"/>
      <c r="B297" s="5"/>
      <c r="D297" s="5"/>
    </row>
    <row r="298">
      <c r="A298" s="5"/>
      <c r="B298" s="5"/>
      <c r="D298" s="5"/>
    </row>
    <row r="299">
      <c r="A299" s="5"/>
      <c r="B299" s="5"/>
      <c r="D299" s="5"/>
    </row>
    <row r="300">
      <c r="A300" s="5"/>
      <c r="B300" s="5"/>
      <c r="D300" s="5"/>
    </row>
    <row r="301">
      <c r="A301" s="5"/>
      <c r="B301" s="5"/>
      <c r="D301" s="5"/>
    </row>
    <row r="302">
      <c r="A302" s="5"/>
      <c r="B302" s="5"/>
      <c r="D302" s="5"/>
    </row>
    <row r="303">
      <c r="A303" s="5"/>
      <c r="B303" s="5"/>
      <c r="D303" s="5"/>
    </row>
    <row r="304">
      <c r="A304" s="5"/>
      <c r="B304" s="5"/>
      <c r="D304" s="5"/>
    </row>
    <row r="305">
      <c r="A305" s="5"/>
      <c r="B305" s="5"/>
      <c r="D305" s="5"/>
    </row>
    <row r="306">
      <c r="A306" s="5"/>
      <c r="B306" s="5"/>
      <c r="D306" s="5"/>
    </row>
    <row r="307">
      <c r="A307" s="5"/>
      <c r="B307" s="5"/>
      <c r="D307" s="5"/>
    </row>
    <row r="308">
      <c r="A308" s="5"/>
      <c r="B308" s="5"/>
      <c r="D308" s="5"/>
    </row>
    <row r="309">
      <c r="A309" s="5"/>
      <c r="B309" s="5"/>
      <c r="D309" s="5"/>
    </row>
    <row r="310">
      <c r="A310" s="5"/>
      <c r="B310" s="5"/>
      <c r="D310" s="5"/>
    </row>
    <row r="311">
      <c r="A311" s="5"/>
      <c r="B311" s="5"/>
      <c r="D311" s="5"/>
    </row>
    <row r="312">
      <c r="A312" s="5"/>
      <c r="B312" s="5"/>
      <c r="D312" s="5"/>
    </row>
    <row r="313">
      <c r="A313" s="5"/>
      <c r="B313" s="5"/>
      <c r="D313" s="5"/>
    </row>
    <row r="314">
      <c r="A314" s="5"/>
      <c r="B314" s="5"/>
      <c r="D314" s="5"/>
    </row>
    <row r="315">
      <c r="A315" s="5"/>
      <c r="B315" s="5"/>
      <c r="D315" s="5"/>
    </row>
    <row r="316">
      <c r="A316" s="5"/>
      <c r="B316" s="5"/>
      <c r="D316" s="5"/>
    </row>
    <row r="317">
      <c r="A317" s="5"/>
      <c r="B317" s="5"/>
      <c r="D317" s="5"/>
    </row>
    <row r="318">
      <c r="A318" s="5"/>
      <c r="B318" s="5"/>
      <c r="D318" s="5"/>
    </row>
    <row r="319">
      <c r="A319" s="5"/>
      <c r="B319" s="5"/>
      <c r="D319" s="5"/>
    </row>
    <row r="320">
      <c r="A320" s="5"/>
      <c r="B320" s="5"/>
      <c r="D320" s="5"/>
    </row>
    <row r="321">
      <c r="A321" s="5"/>
      <c r="B321" s="5"/>
      <c r="D321" s="5"/>
    </row>
    <row r="322">
      <c r="A322" s="5"/>
      <c r="B322" s="5"/>
      <c r="D322" s="5"/>
    </row>
    <row r="323">
      <c r="A323" s="5"/>
      <c r="B323" s="5"/>
      <c r="D323" s="5"/>
    </row>
    <row r="324">
      <c r="A324" s="5"/>
      <c r="B324" s="5"/>
      <c r="D324" s="5"/>
    </row>
    <row r="325">
      <c r="A325" s="5"/>
      <c r="B325" s="5"/>
      <c r="D325" s="5"/>
    </row>
    <row r="326">
      <c r="A326" s="5"/>
      <c r="B326" s="5"/>
      <c r="D326" s="5"/>
    </row>
    <row r="327">
      <c r="A327" s="5"/>
      <c r="B327" s="5"/>
      <c r="D327" s="5"/>
    </row>
    <row r="328">
      <c r="A328" s="5"/>
      <c r="B328" s="5"/>
      <c r="D328" s="5"/>
    </row>
    <row r="329">
      <c r="A329" s="5"/>
      <c r="B329" s="5"/>
      <c r="D329" s="5"/>
    </row>
    <row r="330">
      <c r="A330" s="5"/>
      <c r="B330" s="5"/>
      <c r="D330" s="5"/>
    </row>
    <row r="331">
      <c r="A331" s="5"/>
      <c r="B331" s="5"/>
      <c r="D331" s="5"/>
    </row>
    <row r="332">
      <c r="A332" s="5"/>
      <c r="B332" s="5"/>
      <c r="D332" s="5"/>
    </row>
    <row r="333">
      <c r="A333" s="5"/>
      <c r="B333" s="5"/>
      <c r="D333" s="5"/>
    </row>
    <row r="334">
      <c r="A334" s="5"/>
      <c r="B334" s="5"/>
      <c r="D334" s="5"/>
    </row>
    <row r="335">
      <c r="A335" s="5"/>
      <c r="B335" s="5"/>
      <c r="D335" s="5"/>
    </row>
    <row r="336">
      <c r="A336" s="5"/>
      <c r="B336" s="5"/>
      <c r="D336" s="5"/>
    </row>
    <row r="337">
      <c r="A337" s="5"/>
      <c r="B337" s="5"/>
      <c r="D337" s="5"/>
    </row>
    <row r="338">
      <c r="A338" s="5"/>
      <c r="B338" s="5"/>
      <c r="D338" s="5"/>
    </row>
    <row r="339">
      <c r="A339" s="5"/>
      <c r="B339" s="5"/>
      <c r="D339" s="5"/>
    </row>
    <row r="340">
      <c r="A340" s="5"/>
      <c r="B340" s="5"/>
      <c r="D340" s="5"/>
    </row>
    <row r="341">
      <c r="A341" s="5"/>
      <c r="B341" s="5"/>
      <c r="D341" s="5"/>
    </row>
    <row r="342">
      <c r="A342" s="5"/>
      <c r="B342" s="5"/>
      <c r="D342" s="5"/>
    </row>
    <row r="343">
      <c r="A343" s="5"/>
      <c r="B343" s="5"/>
      <c r="D343" s="5"/>
    </row>
    <row r="344">
      <c r="A344" s="5"/>
      <c r="B344" s="5"/>
      <c r="D344" s="5"/>
    </row>
    <row r="345">
      <c r="A345" s="5"/>
      <c r="B345" s="5"/>
      <c r="D345" s="5"/>
    </row>
    <row r="346">
      <c r="A346" s="5"/>
      <c r="B346" s="5"/>
      <c r="D346" s="5"/>
    </row>
    <row r="347">
      <c r="A347" s="5"/>
      <c r="B347" s="5"/>
      <c r="D347" s="5"/>
    </row>
    <row r="348">
      <c r="A348" s="5"/>
      <c r="B348" s="5"/>
      <c r="D348" s="5"/>
    </row>
    <row r="349">
      <c r="A349" s="5"/>
      <c r="B349" s="5"/>
      <c r="D349" s="5"/>
    </row>
    <row r="350">
      <c r="A350" s="5"/>
      <c r="B350" s="5"/>
      <c r="D350" s="5"/>
    </row>
    <row r="351">
      <c r="A351" s="5"/>
      <c r="B351" s="5"/>
      <c r="D351" s="5"/>
    </row>
    <row r="352">
      <c r="A352" s="5"/>
      <c r="B352" s="5"/>
      <c r="D352" s="5"/>
    </row>
    <row r="353">
      <c r="A353" s="5"/>
      <c r="B353" s="5"/>
      <c r="D353" s="5"/>
    </row>
    <row r="354">
      <c r="A354" s="5"/>
      <c r="B354" s="5"/>
      <c r="D354" s="5"/>
    </row>
    <row r="355">
      <c r="A355" s="5"/>
      <c r="B355" s="5"/>
      <c r="D355" s="5"/>
    </row>
    <row r="356">
      <c r="A356" s="5"/>
      <c r="B356" s="5"/>
      <c r="D356" s="5"/>
    </row>
    <row r="357">
      <c r="A357" s="5"/>
      <c r="B357" s="5"/>
      <c r="D357" s="5"/>
    </row>
    <row r="358">
      <c r="A358" s="5"/>
      <c r="B358" s="5"/>
      <c r="D358" s="5"/>
    </row>
    <row r="359">
      <c r="A359" s="5"/>
      <c r="B359" s="5"/>
      <c r="D359" s="5"/>
    </row>
    <row r="360">
      <c r="A360" s="5"/>
      <c r="B360" s="5"/>
      <c r="D360" s="5"/>
    </row>
    <row r="361">
      <c r="A361" s="5"/>
      <c r="B361" s="5"/>
      <c r="D361" s="5"/>
    </row>
    <row r="362">
      <c r="A362" s="5"/>
      <c r="B362" s="5"/>
      <c r="D362" s="5"/>
    </row>
    <row r="363">
      <c r="A363" s="5"/>
      <c r="B363" s="5"/>
      <c r="D363" s="5"/>
    </row>
    <row r="364">
      <c r="A364" s="5"/>
      <c r="B364" s="5"/>
      <c r="D364" s="5"/>
    </row>
    <row r="365">
      <c r="A365" s="5"/>
      <c r="B365" s="5"/>
      <c r="D365" s="5"/>
    </row>
    <row r="366">
      <c r="A366" s="5"/>
      <c r="B366" s="5"/>
      <c r="D366" s="5"/>
    </row>
    <row r="367">
      <c r="A367" s="5"/>
      <c r="B367" s="5"/>
      <c r="D367" s="5"/>
    </row>
    <row r="368">
      <c r="A368" s="5"/>
      <c r="B368" s="5"/>
      <c r="D368" s="5"/>
    </row>
    <row r="369">
      <c r="A369" s="5"/>
      <c r="B369" s="5"/>
      <c r="D369" s="5"/>
    </row>
    <row r="370">
      <c r="A370" s="5"/>
      <c r="B370" s="5"/>
      <c r="D370" s="5"/>
    </row>
    <row r="371">
      <c r="A371" s="5"/>
      <c r="B371" s="5"/>
      <c r="D371" s="5"/>
    </row>
    <row r="372">
      <c r="A372" s="5"/>
      <c r="B372" s="5"/>
      <c r="D372" s="5"/>
    </row>
    <row r="373">
      <c r="A373" s="5"/>
      <c r="B373" s="5"/>
      <c r="D373" s="5"/>
    </row>
    <row r="374">
      <c r="A374" s="5"/>
      <c r="B374" s="5"/>
      <c r="D374" s="5"/>
    </row>
    <row r="375">
      <c r="A375" s="5"/>
      <c r="B375" s="5"/>
      <c r="D375" s="5"/>
    </row>
    <row r="376">
      <c r="A376" s="5"/>
      <c r="B376" s="5"/>
      <c r="D376" s="5"/>
    </row>
    <row r="377">
      <c r="A377" s="5"/>
      <c r="B377" s="5"/>
      <c r="D377" s="5"/>
    </row>
    <row r="378">
      <c r="A378" s="5"/>
      <c r="B378" s="5"/>
      <c r="D378" s="5"/>
    </row>
    <row r="379">
      <c r="A379" s="5"/>
      <c r="B379" s="5"/>
      <c r="D379" s="5"/>
    </row>
    <row r="380">
      <c r="A380" s="5"/>
      <c r="B380" s="5"/>
      <c r="D380" s="5"/>
    </row>
    <row r="381">
      <c r="A381" s="5"/>
      <c r="B381" s="5"/>
      <c r="D381" s="5"/>
    </row>
    <row r="382">
      <c r="A382" s="5"/>
      <c r="B382" s="5"/>
      <c r="D382" s="5"/>
    </row>
    <row r="383">
      <c r="A383" s="5"/>
      <c r="B383" s="5"/>
      <c r="D383" s="5"/>
    </row>
    <row r="384">
      <c r="A384" s="5"/>
      <c r="B384" s="5"/>
      <c r="D384" s="5"/>
    </row>
    <row r="385">
      <c r="A385" s="5"/>
      <c r="B385" s="5"/>
      <c r="D385" s="5"/>
    </row>
    <row r="386">
      <c r="A386" s="5"/>
      <c r="B386" s="5"/>
      <c r="D386" s="5"/>
    </row>
    <row r="387">
      <c r="A387" s="5"/>
      <c r="B387" s="5"/>
      <c r="D387" s="5"/>
    </row>
    <row r="388">
      <c r="A388" s="5"/>
      <c r="B388" s="5"/>
      <c r="D388" s="5"/>
    </row>
    <row r="389">
      <c r="A389" s="5"/>
      <c r="B389" s="5"/>
      <c r="D389" s="5"/>
    </row>
    <row r="390">
      <c r="A390" s="5"/>
      <c r="B390" s="5"/>
      <c r="D390" s="5"/>
    </row>
    <row r="391">
      <c r="A391" s="5"/>
      <c r="B391" s="5"/>
      <c r="D391" s="5"/>
    </row>
    <row r="392">
      <c r="A392" s="5"/>
      <c r="B392" s="5"/>
      <c r="D392" s="5"/>
    </row>
    <row r="393">
      <c r="A393" s="5"/>
      <c r="B393" s="5"/>
      <c r="D393" s="5"/>
    </row>
    <row r="394">
      <c r="A394" s="5"/>
      <c r="B394" s="5"/>
      <c r="D394" s="5"/>
    </row>
    <row r="395">
      <c r="A395" s="5"/>
      <c r="B395" s="5"/>
      <c r="D395" s="5"/>
    </row>
    <row r="396">
      <c r="A396" s="5"/>
      <c r="B396" s="5"/>
      <c r="D396" s="5"/>
    </row>
    <row r="397">
      <c r="A397" s="5"/>
      <c r="B397" s="5"/>
      <c r="D397" s="5"/>
    </row>
    <row r="398">
      <c r="A398" s="5"/>
      <c r="B398" s="5"/>
      <c r="D398" s="5"/>
    </row>
    <row r="399">
      <c r="A399" s="5"/>
      <c r="B399" s="5"/>
      <c r="D399" s="5"/>
    </row>
    <row r="400">
      <c r="A400" s="5"/>
      <c r="B400" s="5"/>
      <c r="D400" s="5"/>
    </row>
    <row r="401">
      <c r="A401" s="5"/>
      <c r="B401" s="5"/>
      <c r="D401" s="5"/>
    </row>
    <row r="402">
      <c r="A402" s="5"/>
      <c r="B402" s="5"/>
      <c r="D402" s="5"/>
    </row>
    <row r="403">
      <c r="A403" s="5"/>
      <c r="B403" s="5"/>
      <c r="D403" s="5"/>
    </row>
    <row r="404">
      <c r="A404" s="5"/>
      <c r="B404" s="5"/>
      <c r="D404" s="5"/>
    </row>
    <row r="405">
      <c r="A405" s="5"/>
      <c r="B405" s="5"/>
      <c r="D405" s="5"/>
    </row>
    <row r="406">
      <c r="A406" s="5"/>
      <c r="B406" s="5"/>
      <c r="D406" s="5"/>
    </row>
    <row r="407">
      <c r="A407" s="5"/>
      <c r="B407" s="5"/>
      <c r="D407" s="5"/>
    </row>
    <row r="408">
      <c r="A408" s="5"/>
      <c r="B408" s="5"/>
      <c r="D408" s="5"/>
    </row>
    <row r="409">
      <c r="A409" s="5"/>
      <c r="B409" s="5"/>
      <c r="D409" s="5"/>
    </row>
    <row r="410">
      <c r="A410" s="5"/>
      <c r="B410" s="5"/>
      <c r="D410" s="5"/>
    </row>
    <row r="411">
      <c r="A411" s="5"/>
      <c r="B411" s="5"/>
      <c r="D411" s="5"/>
    </row>
    <row r="412">
      <c r="A412" s="5"/>
      <c r="B412" s="5"/>
      <c r="D412" s="5"/>
    </row>
    <row r="413">
      <c r="A413" s="5"/>
      <c r="B413" s="5"/>
      <c r="D413" s="5"/>
    </row>
    <row r="414">
      <c r="A414" s="5"/>
      <c r="B414" s="5"/>
      <c r="D414" s="5"/>
    </row>
    <row r="415">
      <c r="A415" s="5"/>
      <c r="B415" s="5"/>
      <c r="D415" s="5"/>
    </row>
    <row r="416">
      <c r="A416" s="5"/>
      <c r="B416" s="5"/>
      <c r="D416" s="5"/>
    </row>
    <row r="417">
      <c r="A417" s="5"/>
      <c r="B417" s="5"/>
      <c r="D417" s="5"/>
    </row>
    <row r="418">
      <c r="A418" s="5"/>
      <c r="B418" s="5"/>
      <c r="D418" s="5"/>
    </row>
    <row r="419">
      <c r="A419" s="5"/>
      <c r="B419" s="5"/>
      <c r="D419" s="5"/>
    </row>
    <row r="420">
      <c r="A420" s="5"/>
      <c r="B420" s="5"/>
      <c r="D420" s="5"/>
    </row>
    <row r="421">
      <c r="A421" s="5"/>
      <c r="B421" s="5"/>
      <c r="D421" s="5"/>
    </row>
    <row r="422">
      <c r="A422" s="5"/>
      <c r="B422" s="5"/>
      <c r="D422" s="5"/>
    </row>
    <row r="423">
      <c r="A423" s="5"/>
      <c r="B423" s="5"/>
      <c r="D423" s="5"/>
    </row>
    <row r="424">
      <c r="A424" s="5"/>
      <c r="B424" s="5"/>
      <c r="D424" s="5"/>
    </row>
    <row r="425">
      <c r="A425" s="5"/>
      <c r="B425" s="5"/>
      <c r="D425" s="5"/>
    </row>
    <row r="426">
      <c r="A426" s="5"/>
      <c r="B426" s="5"/>
      <c r="D426" s="5"/>
    </row>
    <row r="427">
      <c r="A427" s="5"/>
      <c r="B427" s="5"/>
      <c r="D427" s="5"/>
    </row>
    <row r="428">
      <c r="A428" s="5"/>
      <c r="B428" s="5"/>
      <c r="D428" s="5"/>
    </row>
    <row r="429">
      <c r="A429" s="5"/>
      <c r="B429" s="5"/>
      <c r="D429" s="5"/>
    </row>
    <row r="430">
      <c r="A430" s="5"/>
      <c r="B430" s="5"/>
      <c r="D430" s="5"/>
    </row>
    <row r="431">
      <c r="A431" s="5"/>
      <c r="B431" s="5"/>
      <c r="D431" s="5"/>
    </row>
    <row r="432">
      <c r="A432" s="5"/>
      <c r="B432" s="5"/>
      <c r="D432" s="5"/>
    </row>
    <row r="433">
      <c r="A433" s="5"/>
      <c r="B433" s="5"/>
      <c r="D433" s="5"/>
    </row>
    <row r="434">
      <c r="A434" s="5"/>
      <c r="B434" s="5"/>
      <c r="D434" s="5"/>
    </row>
    <row r="435">
      <c r="A435" s="5"/>
      <c r="B435" s="5"/>
      <c r="D435" s="5"/>
    </row>
    <row r="436">
      <c r="A436" s="5"/>
      <c r="B436" s="5"/>
      <c r="D436" s="5"/>
    </row>
    <row r="437">
      <c r="A437" s="5"/>
      <c r="B437" s="5"/>
      <c r="D437" s="5"/>
    </row>
    <row r="438">
      <c r="A438" s="5"/>
      <c r="B438" s="5"/>
      <c r="D438" s="5"/>
    </row>
    <row r="439">
      <c r="A439" s="5"/>
      <c r="B439" s="5"/>
      <c r="D439" s="5"/>
    </row>
    <row r="440">
      <c r="A440" s="5"/>
      <c r="B440" s="5"/>
      <c r="D440" s="5"/>
    </row>
    <row r="441">
      <c r="A441" s="5"/>
      <c r="B441" s="5"/>
      <c r="D441" s="5"/>
    </row>
    <row r="442">
      <c r="A442" s="5"/>
      <c r="B442" s="5"/>
      <c r="D442" s="5"/>
    </row>
    <row r="443">
      <c r="A443" s="5"/>
      <c r="B443" s="5"/>
      <c r="D443" s="5"/>
    </row>
    <row r="444">
      <c r="A444" s="5"/>
      <c r="B444" s="5"/>
      <c r="D444" s="5"/>
    </row>
    <row r="445">
      <c r="A445" s="5"/>
      <c r="B445" s="5"/>
      <c r="D445" s="5"/>
    </row>
    <row r="446">
      <c r="A446" s="5"/>
      <c r="B446" s="5"/>
      <c r="D446" s="5"/>
    </row>
    <row r="447">
      <c r="A447" s="5"/>
      <c r="B447" s="5"/>
      <c r="D447" s="5"/>
    </row>
    <row r="448">
      <c r="A448" s="5"/>
      <c r="B448" s="5"/>
      <c r="D448" s="5"/>
    </row>
    <row r="449">
      <c r="A449" s="5"/>
      <c r="B449" s="5"/>
      <c r="D449" s="5"/>
    </row>
    <row r="450">
      <c r="A450" s="5"/>
      <c r="B450" s="5"/>
      <c r="D450" s="5"/>
    </row>
    <row r="451">
      <c r="A451" s="5"/>
      <c r="B451" s="5"/>
      <c r="D451" s="5"/>
    </row>
    <row r="452">
      <c r="A452" s="5"/>
      <c r="B452" s="5"/>
      <c r="D452" s="5"/>
    </row>
    <row r="453">
      <c r="A453" s="5"/>
      <c r="B453" s="5"/>
      <c r="D453" s="5"/>
    </row>
    <row r="454">
      <c r="A454" s="5"/>
      <c r="B454" s="5"/>
      <c r="D454" s="5"/>
    </row>
    <row r="455">
      <c r="A455" s="5"/>
      <c r="B455" s="5"/>
      <c r="D455" s="5"/>
    </row>
    <row r="456">
      <c r="A456" s="5"/>
      <c r="B456" s="5"/>
      <c r="D456" s="5"/>
    </row>
    <row r="457">
      <c r="A457" s="5"/>
      <c r="B457" s="5"/>
      <c r="D457" s="5"/>
    </row>
    <row r="458">
      <c r="A458" s="5"/>
      <c r="B458" s="5"/>
      <c r="D458" s="5"/>
    </row>
    <row r="459">
      <c r="A459" s="5"/>
      <c r="B459" s="5"/>
      <c r="D459" s="5"/>
    </row>
    <row r="460">
      <c r="A460" s="5"/>
      <c r="B460" s="5"/>
      <c r="D460" s="5"/>
    </row>
    <row r="461">
      <c r="A461" s="5"/>
      <c r="B461" s="5"/>
      <c r="D461" s="5"/>
    </row>
    <row r="462">
      <c r="A462" s="5"/>
      <c r="B462" s="5"/>
      <c r="D462" s="5"/>
    </row>
    <row r="463">
      <c r="A463" s="5"/>
      <c r="B463" s="5"/>
      <c r="D463" s="5"/>
    </row>
    <row r="464">
      <c r="A464" s="5"/>
      <c r="B464" s="5"/>
      <c r="D464" s="5"/>
    </row>
    <row r="465">
      <c r="A465" s="5"/>
      <c r="B465" s="5"/>
      <c r="D465" s="5"/>
    </row>
    <row r="466">
      <c r="A466" s="5"/>
      <c r="B466" s="5"/>
      <c r="D466" s="5"/>
    </row>
    <row r="467">
      <c r="A467" s="5"/>
      <c r="B467" s="5"/>
      <c r="D467" s="5"/>
    </row>
    <row r="468">
      <c r="A468" s="5"/>
      <c r="B468" s="5"/>
      <c r="D468" s="5"/>
    </row>
    <row r="469">
      <c r="A469" s="5"/>
      <c r="B469" s="5"/>
      <c r="D469" s="5"/>
    </row>
    <row r="470">
      <c r="A470" s="5"/>
      <c r="B470" s="5"/>
      <c r="D470" s="5"/>
    </row>
    <row r="471">
      <c r="A471" s="5"/>
      <c r="B471" s="5"/>
      <c r="D471" s="5"/>
    </row>
    <row r="472">
      <c r="A472" s="5"/>
      <c r="B472" s="5"/>
      <c r="D472" s="5"/>
    </row>
    <row r="473">
      <c r="A473" s="5"/>
      <c r="B473" s="5"/>
      <c r="D473" s="5"/>
    </row>
    <row r="474">
      <c r="A474" s="5"/>
      <c r="B474" s="5"/>
      <c r="D474" s="5"/>
    </row>
    <row r="475">
      <c r="A475" s="5"/>
      <c r="B475" s="5"/>
      <c r="D475" s="5"/>
    </row>
    <row r="476">
      <c r="A476" s="5"/>
      <c r="B476" s="5"/>
      <c r="D476" s="5"/>
    </row>
    <row r="477">
      <c r="A477" s="5"/>
      <c r="B477" s="5"/>
      <c r="D477" s="5"/>
    </row>
    <row r="478">
      <c r="A478" s="5"/>
      <c r="B478" s="5"/>
      <c r="D478" s="5"/>
    </row>
    <row r="479">
      <c r="A479" s="5"/>
      <c r="B479" s="5"/>
      <c r="D479" s="5"/>
    </row>
    <row r="480">
      <c r="A480" s="5"/>
      <c r="B480" s="5"/>
      <c r="D480" s="5"/>
    </row>
    <row r="481">
      <c r="A481" s="5"/>
      <c r="B481" s="5"/>
      <c r="D481" s="5"/>
    </row>
    <row r="482">
      <c r="A482" s="5"/>
      <c r="B482" s="5"/>
      <c r="D482" s="5"/>
    </row>
    <row r="483">
      <c r="A483" s="5"/>
      <c r="B483" s="5"/>
      <c r="D483" s="5"/>
    </row>
    <row r="484">
      <c r="A484" s="5"/>
      <c r="B484" s="5"/>
      <c r="D484" s="5"/>
    </row>
    <row r="485">
      <c r="A485" s="5"/>
      <c r="B485" s="5"/>
      <c r="D485" s="5"/>
    </row>
    <row r="486">
      <c r="A486" s="5"/>
      <c r="B486" s="5"/>
      <c r="D486" s="5"/>
    </row>
    <row r="487">
      <c r="A487" s="5"/>
      <c r="B487" s="5"/>
      <c r="D487" s="5"/>
    </row>
    <row r="488">
      <c r="A488" s="5"/>
      <c r="B488" s="5"/>
      <c r="D488" s="5"/>
    </row>
    <row r="489">
      <c r="A489" s="5"/>
      <c r="B489" s="5"/>
      <c r="D489" s="5"/>
    </row>
    <row r="490">
      <c r="A490" s="5"/>
      <c r="B490" s="5"/>
      <c r="D490" s="5"/>
    </row>
    <row r="491">
      <c r="A491" s="5"/>
      <c r="B491" s="5"/>
      <c r="D491" s="5"/>
    </row>
    <row r="492">
      <c r="A492" s="5"/>
      <c r="B492" s="5"/>
      <c r="D492" s="5"/>
    </row>
    <row r="493">
      <c r="A493" s="5"/>
      <c r="B493" s="5"/>
      <c r="D493" s="5"/>
    </row>
    <row r="494">
      <c r="A494" s="5"/>
      <c r="B494" s="5"/>
      <c r="D494" s="5"/>
    </row>
    <row r="495">
      <c r="A495" s="5"/>
      <c r="B495" s="5"/>
      <c r="D495" s="5"/>
    </row>
    <row r="496">
      <c r="A496" s="5"/>
      <c r="B496" s="5"/>
      <c r="D496" s="5"/>
    </row>
    <row r="497">
      <c r="A497" s="5"/>
      <c r="B497" s="5"/>
      <c r="D497" s="5"/>
    </row>
    <row r="498">
      <c r="A498" s="5"/>
      <c r="B498" s="5"/>
      <c r="D498" s="5"/>
    </row>
    <row r="499">
      <c r="A499" s="5"/>
      <c r="B499" s="5"/>
      <c r="D499" s="5"/>
    </row>
    <row r="500">
      <c r="A500" s="5"/>
      <c r="B500" s="5"/>
      <c r="D500" s="5"/>
    </row>
    <row r="501">
      <c r="A501" s="5"/>
      <c r="B501" s="5"/>
      <c r="D501" s="5"/>
    </row>
    <row r="502">
      <c r="A502" s="5"/>
      <c r="B502" s="5"/>
      <c r="D502" s="5"/>
    </row>
    <row r="503">
      <c r="A503" s="5"/>
      <c r="B503" s="5"/>
      <c r="D503" s="5"/>
    </row>
    <row r="504">
      <c r="A504" s="5"/>
      <c r="B504" s="5"/>
      <c r="D504" s="5"/>
    </row>
    <row r="505">
      <c r="A505" s="5"/>
      <c r="B505" s="5"/>
      <c r="D505" s="5"/>
    </row>
    <row r="506">
      <c r="A506" s="5"/>
      <c r="B506" s="5"/>
      <c r="D506" s="5"/>
    </row>
    <row r="507">
      <c r="A507" s="5"/>
      <c r="B507" s="5"/>
      <c r="D507" s="5"/>
    </row>
    <row r="508">
      <c r="A508" s="5"/>
      <c r="B508" s="5"/>
      <c r="D508" s="5"/>
    </row>
    <row r="509">
      <c r="A509" s="5"/>
      <c r="B509" s="5"/>
      <c r="D509" s="5"/>
    </row>
    <row r="510">
      <c r="A510" s="5"/>
      <c r="B510" s="5"/>
      <c r="D510" s="5"/>
    </row>
    <row r="511">
      <c r="A511" s="5"/>
      <c r="B511" s="5"/>
      <c r="D511" s="5"/>
    </row>
    <row r="512">
      <c r="A512" s="5"/>
      <c r="B512" s="5"/>
      <c r="D512" s="5"/>
    </row>
    <row r="513">
      <c r="A513" s="5"/>
      <c r="B513" s="5"/>
      <c r="D513" s="5"/>
    </row>
    <row r="514">
      <c r="A514" s="5"/>
      <c r="B514" s="5"/>
      <c r="D514" s="5"/>
    </row>
    <row r="515">
      <c r="A515" s="5"/>
      <c r="B515" s="5"/>
      <c r="D515" s="5"/>
    </row>
    <row r="516">
      <c r="A516" s="5"/>
      <c r="B516" s="5"/>
      <c r="D516" s="5"/>
    </row>
    <row r="517">
      <c r="A517" s="5"/>
      <c r="B517" s="5"/>
      <c r="D517" s="5"/>
    </row>
    <row r="518">
      <c r="A518" s="5"/>
      <c r="B518" s="5"/>
      <c r="D518" s="5"/>
    </row>
    <row r="519">
      <c r="A519" s="5"/>
      <c r="B519" s="5"/>
      <c r="D519" s="5"/>
    </row>
    <row r="520">
      <c r="A520" s="5"/>
      <c r="B520" s="5"/>
      <c r="D520" s="5"/>
    </row>
    <row r="521">
      <c r="A521" s="5"/>
      <c r="B521" s="5"/>
      <c r="D521" s="5"/>
    </row>
    <row r="522">
      <c r="A522" s="5"/>
      <c r="B522" s="5"/>
      <c r="D522" s="5"/>
    </row>
    <row r="523">
      <c r="A523" s="5"/>
      <c r="B523" s="5"/>
      <c r="D523" s="5"/>
    </row>
    <row r="524">
      <c r="A524" s="5"/>
      <c r="B524" s="5"/>
      <c r="D524" s="5"/>
    </row>
    <row r="525">
      <c r="A525" s="5"/>
      <c r="B525" s="5"/>
      <c r="D525" s="5"/>
    </row>
    <row r="526">
      <c r="A526" s="5"/>
      <c r="B526" s="5"/>
      <c r="D526" s="5"/>
    </row>
    <row r="527">
      <c r="A527" s="5"/>
      <c r="B527" s="5"/>
      <c r="D527" s="5"/>
    </row>
    <row r="528">
      <c r="A528" s="5"/>
      <c r="B528" s="5"/>
      <c r="D528" s="5"/>
    </row>
    <row r="529">
      <c r="A529" s="5"/>
      <c r="B529" s="5"/>
      <c r="D529" s="5"/>
    </row>
    <row r="530">
      <c r="A530" s="5"/>
      <c r="B530" s="5"/>
      <c r="D530" s="5"/>
    </row>
    <row r="531">
      <c r="A531" s="5"/>
      <c r="B531" s="5"/>
      <c r="D531" s="5"/>
    </row>
    <row r="532">
      <c r="A532" s="5"/>
      <c r="B532" s="5"/>
      <c r="D532" s="5"/>
    </row>
    <row r="533">
      <c r="A533" s="5"/>
      <c r="B533" s="5"/>
      <c r="D533" s="5"/>
    </row>
    <row r="534">
      <c r="A534" s="5"/>
      <c r="B534" s="5"/>
      <c r="D534" s="5"/>
    </row>
    <row r="535">
      <c r="A535" s="5"/>
      <c r="B535" s="5"/>
      <c r="D535" s="5"/>
    </row>
    <row r="536">
      <c r="A536" s="5"/>
      <c r="B536" s="5"/>
      <c r="D536" s="5"/>
    </row>
    <row r="537">
      <c r="A537" s="5"/>
      <c r="B537" s="5"/>
      <c r="D537" s="5"/>
    </row>
    <row r="538">
      <c r="A538" s="5"/>
      <c r="B538" s="5"/>
      <c r="D538" s="5"/>
    </row>
    <row r="539">
      <c r="A539" s="5"/>
      <c r="B539" s="5"/>
      <c r="D539" s="5"/>
    </row>
    <row r="540">
      <c r="A540" s="5"/>
      <c r="B540" s="5"/>
      <c r="D540" s="5"/>
    </row>
    <row r="541">
      <c r="A541" s="5"/>
      <c r="B541" s="5"/>
      <c r="D541" s="5"/>
    </row>
    <row r="542">
      <c r="A542" s="5"/>
      <c r="B542" s="5"/>
      <c r="D542" s="5"/>
    </row>
    <row r="543">
      <c r="A543" s="5"/>
      <c r="B543" s="5"/>
      <c r="D543" s="5"/>
    </row>
    <row r="544">
      <c r="A544" s="5"/>
      <c r="B544" s="5"/>
      <c r="D544" s="5"/>
    </row>
    <row r="545">
      <c r="A545" s="5"/>
      <c r="B545" s="5"/>
      <c r="D545" s="5"/>
    </row>
    <row r="546">
      <c r="A546" s="5"/>
      <c r="B546" s="5"/>
      <c r="D546" s="5"/>
    </row>
    <row r="547">
      <c r="A547" s="5"/>
      <c r="B547" s="5"/>
      <c r="D547" s="5"/>
    </row>
    <row r="548">
      <c r="A548" s="5"/>
      <c r="B548" s="5"/>
      <c r="D548" s="5"/>
    </row>
    <row r="549">
      <c r="A549" s="5"/>
      <c r="B549" s="5"/>
      <c r="D549" s="5"/>
    </row>
    <row r="550">
      <c r="A550" s="5"/>
      <c r="B550" s="5"/>
      <c r="D550" s="5"/>
    </row>
    <row r="551">
      <c r="A551" s="5"/>
      <c r="B551" s="5"/>
      <c r="D551" s="5"/>
    </row>
    <row r="552">
      <c r="A552" s="5"/>
      <c r="B552" s="5"/>
      <c r="D552" s="5"/>
    </row>
    <row r="553">
      <c r="A553" s="5"/>
      <c r="B553" s="5"/>
      <c r="D553" s="5"/>
    </row>
    <row r="554">
      <c r="A554" s="5"/>
      <c r="B554" s="5"/>
      <c r="D554" s="5"/>
    </row>
    <row r="555">
      <c r="A555" s="5"/>
      <c r="B555" s="5"/>
      <c r="D555" s="5"/>
    </row>
    <row r="556">
      <c r="A556" s="5"/>
      <c r="B556" s="5"/>
      <c r="D556" s="5"/>
    </row>
    <row r="557">
      <c r="A557" s="5"/>
      <c r="B557" s="5"/>
      <c r="D557" s="5"/>
    </row>
    <row r="558">
      <c r="A558" s="5"/>
      <c r="B558" s="5"/>
      <c r="D558" s="5"/>
    </row>
    <row r="559">
      <c r="A559" s="5"/>
      <c r="B559" s="5"/>
      <c r="D559" s="5"/>
    </row>
    <row r="560">
      <c r="A560" s="5"/>
      <c r="B560" s="5"/>
      <c r="D560" s="5"/>
    </row>
    <row r="561">
      <c r="A561" s="5"/>
      <c r="B561" s="5"/>
      <c r="D561" s="5"/>
    </row>
    <row r="562">
      <c r="A562" s="5"/>
      <c r="B562" s="5"/>
      <c r="D562" s="5"/>
    </row>
    <row r="563">
      <c r="A563" s="5"/>
      <c r="B563" s="5"/>
      <c r="D563" s="5"/>
    </row>
    <row r="564">
      <c r="A564" s="5"/>
      <c r="B564" s="5"/>
      <c r="D564" s="5"/>
    </row>
    <row r="565">
      <c r="A565" s="5"/>
      <c r="B565" s="5"/>
      <c r="D565" s="5"/>
    </row>
    <row r="566">
      <c r="A566" s="5"/>
      <c r="B566" s="5"/>
      <c r="D566" s="5"/>
    </row>
    <row r="567">
      <c r="A567" s="5"/>
      <c r="B567" s="5"/>
      <c r="D567" s="5"/>
    </row>
    <row r="568">
      <c r="A568" s="5"/>
      <c r="B568" s="5"/>
      <c r="D568" s="5"/>
    </row>
    <row r="569">
      <c r="A569" s="5"/>
      <c r="B569" s="5"/>
      <c r="D569" s="5"/>
    </row>
    <row r="570">
      <c r="A570" s="5"/>
      <c r="B570" s="5"/>
      <c r="D570" s="5"/>
    </row>
    <row r="571">
      <c r="A571" s="5"/>
      <c r="B571" s="5"/>
      <c r="D571" s="5"/>
    </row>
    <row r="572">
      <c r="A572" s="5"/>
      <c r="B572" s="5"/>
      <c r="D572" s="5"/>
    </row>
    <row r="573">
      <c r="A573" s="5"/>
      <c r="B573" s="5"/>
      <c r="D573" s="5"/>
    </row>
    <row r="574">
      <c r="A574" s="5"/>
      <c r="B574" s="5"/>
      <c r="D574" s="5"/>
    </row>
    <row r="575">
      <c r="A575" s="5"/>
      <c r="B575" s="5"/>
      <c r="D575" s="5"/>
    </row>
    <row r="576">
      <c r="A576" s="5"/>
      <c r="B576" s="5"/>
      <c r="D576" s="5"/>
    </row>
    <row r="577">
      <c r="A577" s="5"/>
      <c r="B577" s="5"/>
      <c r="D577" s="5"/>
    </row>
    <row r="578">
      <c r="A578" s="5"/>
      <c r="B578" s="5"/>
      <c r="D578" s="5"/>
    </row>
    <row r="579">
      <c r="A579" s="5"/>
      <c r="B579" s="5"/>
      <c r="D579" s="5"/>
    </row>
    <row r="580">
      <c r="A580" s="5"/>
      <c r="B580" s="5"/>
      <c r="D580" s="5"/>
    </row>
    <row r="581">
      <c r="A581" s="5"/>
      <c r="B581" s="5"/>
      <c r="D581" s="5"/>
    </row>
    <row r="582">
      <c r="A582" s="5"/>
      <c r="B582" s="5"/>
      <c r="D582" s="5"/>
    </row>
    <row r="583">
      <c r="A583" s="5"/>
      <c r="B583" s="5"/>
      <c r="D583" s="5"/>
    </row>
    <row r="584">
      <c r="A584" s="5"/>
      <c r="B584" s="5"/>
      <c r="D584" s="5"/>
    </row>
    <row r="585">
      <c r="A585" s="5"/>
      <c r="B585" s="5"/>
      <c r="D585" s="5"/>
    </row>
    <row r="586">
      <c r="A586" s="5"/>
      <c r="B586" s="5"/>
      <c r="D586" s="5"/>
    </row>
    <row r="587">
      <c r="A587" s="5"/>
      <c r="B587" s="5"/>
      <c r="D587" s="5"/>
    </row>
    <row r="588">
      <c r="A588" s="5"/>
      <c r="B588" s="5"/>
      <c r="D588" s="5"/>
    </row>
    <row r="589">
      <c r="A589" s="5"/>
      <c r="B589" s="5"/>
      <c r="D589" s="5"/>
    </row>
    <row r="590">
      <c r="A590" s="5"/>
      <c r="B590" s="5"/>
      <c r="D590" s="5"/>
    </row>
    <row r="591">
      <c r="A591" s="5"/>
      <c r="B591" s="5"/>
      <c r="D591" s="5"/>
    </row>
    <row r="592">
      <c r="A592" s="5"/>
      <c r="B592" s="5"/>
      <c r="D592" s="5"/>
    </row>
    <row r="593">
      <c r="A593" s="5"/>
      <c r="B593" s="5"/>
      <c r="D593" s="5"/>
    </row>
    <row r="594">
      <c r="A594" s="5"/>
      <c r="B594" s="5"/>
      <c r="D594" s="5"/>
    </row>
    <row r="595">
      <c r="A595" s="5"/>
      <c r="B595" s="5"/>
      <c r="D595" s="5"/>
    </row>
    <row r="596">
      <c r="A596" s="5"/>
      <c r="B596" s="5"/>
      <c r="D596" s="5"/>
    </row>
    <row r="597">
      <c r="A597" s="5"/>
      <c r="B597" s="5"/>
      <c r="D597" s="5"/>
    </row>
    <row r="598">
      <c r="A598" s="5"/>
      <c r="B598" s="5"/>
      <c r="D598" s="5"/>
    </row>
    <row r="599">
      <c r="A599" s="5"/>
      <c r="B599" s="5"/>
      <c r="D599" s="5"/>
    </row>
    <row r="600">
      <c r="A600" s="5"/>
      <c r="B600" s="5"/>
      <c r="D600" s="5"/>
    </row>
    <row r="601">
      <c r="A601" s="5"/>
      <c r="B601" s="5"/>
      <c r="D601" s="5"/>
    </row>
    <row r="602">
      <c r="A602" s="5"/>
      <c r="B602" s="5"/>
      <c r="D602" s="5"/>
    </row>
    <row r="603">
      <c r="A603" s="5"/>
      <c r="B603" s="5"/>
      <c r="D603" s="5"/>
    </row>
    <row r="604">
      <c r="A604" s="5"/>
      <c r="B604" s="5"/>
      <c r="D604" s="5"/>
    </row>
    <row r="605">
      <c r="A605" s="5"/>
      <c r="B605" s="5"/>
      <c r="D605" s="5"/>
    </row>
    <row r="606">
      <c r="A606" s="5"/>
      <c r="B606" s="5"/>
      <c r="D606" s="5"/>
    </row>
    <row r="607">
      <c r="A607" s="5"/>
      <c r="B607" s="5"/>
      <c r="D607" s="5"/>
    </row>
    <row r="608">
      <c r="A608" s="5"/>
      <c r="B608" s="5"/>
      <c r="D608" s="5"/>
    </row>
    <row r="609">
      <c r="A609" s="5"/>
      <c r="B609" s="5"/>
      <c r="D609" s="5"/>
    </row>
    <row r="610">
      <c r="A610" s="5"/>
      <c r="B610" s="5"/>
      <c r="D610" s="5"/>
    </row>
    <row r="611">
      <c r="A611" s="5"/>
      <c r="B611" s="5"/>
      <c r="D611" s="5"/>
    </row>
    <row r="612">
      <c r="A612" s="5"/>
      <c r="B612" s="5"/>
      <c r="D612" s="5"/>
    </row>
    <row r="613">
      <c r="A613" s="5"/>
      <c r="B613" s="5"/>
      <c r="D613" s="5"/>
    </row>
    <row r="614">
      <c r="A614" s="5"/>
      <c r="B614" s="5"/>
      <c r="D614" s="5"/>
    </row>
    <row r="615">
      <c r="A615" s="5"/>
      <c r="B615" s="5"/>
      <c r="D615" s="5"/>
    </row>
    <row r="616">
      <c r="A616" s="5"/>
      <c r="B616" s="5"/>
      <c r="D616" s="5"/>
    </row>
    <row r="617">
      <c r="A617" s="5"/>
      <c r="B617" s="5"/>
      <c r="D617" s="5"/>
    </row>
    <row r="618">
      <c r="A618" s="5"/>
      <c r="B618" s="5"/>
      <c r="D618" s="5"/>
    </row>
    <row r="619">
      <c r="A619" s="5"/>
      <c r="B619" s="5"/>
      <c r="D619" s="5"/>
    </row>
    <row r="620">
      <c r="A620" s="5"/>
      <c r="B620" s="5"/>
      <c r="D620" s="5"/>
    </row>
    <row r="621">
      <c r="A621" s="5"/>
      <c r="B621" s="5"/>
      <c r="D621" s="5"/>
    </row>
    <row r="622">
      <c r="A622" s="5"/>
      <c r="B622" s="5"/>
      <c r="D622" s="5"/>
    </row>
    <row r="623">
      <c r="A623" s="5"/>
      <c r="B623" s="5"/>
      <c r="D623" s="5"/>
    </row>
    <row r="624">
      <c r="A624" s="5"/>
      <c r="B624" s="5"/>
      <c r="D624" s="5"/>
    </row>
    <row r="625">
      <c r="A625" s="5"/>
      <c r="B625" s="5"/>
      <c r="D625" s="5"/>
    </row>
    <row r="626">
      <c r="A626" s="5"/>
      <c r="B626" s="5"/>
      <c r="D626" s="5"/>
    </row>
    <row r="627">
      <c r="A627" s="5"/>
      <c r="B627" s="5"/>
      <c r="D627" s="5"/>
    </row>
    <row r="628">
      <c r="A628" s="5"/>
      <c r="B628" s="5"/>
      <c r="D628" s="5"/>
    </row>
    <row r="629">
      <c r="A629" s="5"/>
      <c r="B629" s="5"/>
      <c r="D629" s="5"/>
    </row>
    <row r="630">
      <c r="A630" s="5"/>
      <c r="B630" s="5"/>
      <c r="D630" s="5"/>
    </row>
    <row r="631">
      <c r="A631" s="5"/>
      <c r="B631" s="5"/>
      <c r="D631" s="5"/>
    </row>
    <row r="632">
      <c r="A632" s="5"/>
      <c r="B632" s="5"/>
      <c r="D632" s="5"/>
    </row>
    <row r="633">
      <c r="A633" s="5"/>
      <c r="B633" s="5"/>
      <c r="D633" s="5"/>
    </row>
    <row r="634">
      <c r="A634" s="5"/>
      <c r="B634" s="5"/>
      <c r="D634" s="5"/>
    </row>
    <row r="635">
      <c r="A635" s="5"/>
      <c r="B635" s="5"/>
      <c r="D635" s="5"/>
    </row>
    <row r="636">
      <c r="A636" s="5"/>
      <c r="B636" s="5"/>
      <c r="D636" s="5"/>
    </row>
    <row r="637">
      <c r="A637" s="5"/>
      <c r="B637" s="5"/>
      <c r="D637" s="5"/>
    </row>
    <row r="638">
      <c r="A638" s="5"/>
      <c r="B638" s="5"/>
      <c r="D638" s="5"/>
    </row>
    <row r="639">
      <c r="A639" s="5"/>
      <c r="B639" s="5"/>
      <c r="D639" s="5"/>
    </row>
    <row r="640">
      <c r="A640" s="5"/>
      <c r="B640" s="5"/>
      <c r="D640" s="5"/>
    </row>
    <row r="641">
      <c r="A641" s="5"/>
      <c r="B641" s="5"/>
      <c r="D641" s="5"/>
    </row>
    <row r="642">
      <c r="A642" s="5"/>
      <c r="B642" s="5"/>
      <c r="D642" s="5"/>
    </row>
    <row r="643">
      <c r="A643" s="5"/>
      <c r="B643" s="5"/>
      <c r="D643" s="5"/>
    </row>
    <row r="644">
      <c r="A644" s="5"/>
      <c r="B644" s="5"/>
      <c r="D644" s="5"/>
    </row>
    <row r="645">
      <c r="A645" s="5"/>
      <c r="B645" s="5"/>
      <c r="D645" s="5"/>
    </row>
    <row r="646">
      <c r="A646" s="5"/>
      <c r="B646" s="5"/>
      <c r="D646" s="5"/>
    </row>
    <row r="647">
      <c r="A647" s="5"/>
      <c r="B647" s="5"/>
      <c r="D647" s="5"/>
    </row>
    <row r="648">
      <c r="A648" s="5"/>
      <c r="B648" s="5"/>
      <c r="D648" s="5"/>
    </row>
    <row r="649">
      <c r="A649" s="5"/>
      <c r="B649" s="5"/>
      <c r="D649" s="5"/>
    </row>
    <row r="650">
      <c r="A650" s="5"/>
      <c r="B650" s="5"/>
      <c r="D650" s="5"/>
    </row>
    <row r="651">
      <c r="A651" s="5"/>
      <c r="B651" s="5"/>
      <c r="D651" s="5"/>
    </row>
    <row r="652">
      <c r="A652" s="5"/>
      <c r="B652" s="5"/>
      <c r="D652" s="5"/>
    </row>
    <row r="653">
      <c r="A653" s="5"/>
      <c r="B653" s="5"/>
      <c r="D653" s="5"/>
    </row>
    <row r="654">
      <c r="A654" s="5"/>
      <c r="B654" s="5"/>
      <c r="D654" s="5"/>
    </row>
    <row r="655">
      <c r="A655" s="5"/>
      <c r="B655" s="5"/>
      <c r="D655" s="5"/>
    </row>
    <row r="656">
      <c r="A656" s="5"/>
      <c r="B656" s="5"/>
      <c r="D656" s="5"/>
    </row>
    <row r="657">
      <c r="A657" s="5"/>
      <c r="B657" s="5"/>
      <c r="D657" s="5"/>
    </row>
    <row r="658">
      <c r="A658" s="5"/>
      <c r="B658" s="5"/>
      <c r="D658" s="5"/>
    </row>
    <row r="659">
      <c r="A659" s="5"/>
      <c r="B659" s="5"/>
      <c r="D659" s="5"/>
    </row>
    <row r="660">
      <c r="A660" s="5"/>
      <c r="B660" s="5"/>
      <c r="D660" s="5"/>
    </row>
    <row r="661">
      <c r="A661" s="5"/>
      <c r="B661" s="5"/>
      <c r="D661" s="5"/>
    </row>
    <row r="662">
      <c r="A662" s="5"/>
      <c r="B662" s="5"/>
      <c r="D662" s="5"/>
    </row>
    <row r="663">
      <c r="A663" s="5"/>
      <c r="B663" s="5"/>
      <c r="D663" s="5"/>
    </row>
    <row r="664">
      <c r="A664" s="5"/>
      <c r="B664" s="5"/>
      <c r="D664" s="5"/>
    </row>
    <row r="665">
      <c r="A665" s="5"/>
      <c r="B665" s="5"/>
      <c r="D665" s="5"/>
    </row>
    <row r="666">
      <c r="A666" s="5"/>
      <c r="B666" s="5"/>
      <c r="D666" s="5"/>
    </row>
    <row r="667">
      <c r="A667" s="5"/>
      <c r="B667" s="5"/>
      <c r="D667" s="5"/>
    </row>
    <row r="668">
      <c r="A668" s="5"/>
      <c r="B668" s="5"/>
      <c r="D668" s="5"/>
    </row>
    <row r="669">
      <c r="A669" s="5"/>
      <c r="B669" s="5"/>
      <c r="D669" s="5"/>
    </row>
    <row r="670">
      <c r="A670" s="5"/>
      <c r="B670" s="5"/>
      <c r="D670" s="5"/>
    </row>
    <row r="671">
      <c r="A671" s="5"/>
      <c r="B671" s="5"/>
      <c r="D671" s="5"/>
    </row>
    <row r="672">
      <c r="A672" s="5"/>
      <c r="B672" s="5"/>
      <c r="D672" s="5"/>
    </row>
    <row r="673">
      <c r="A673" s="5"/>
      <c r="B673" s="5"/>
      <c r="D673" s="5"/>
    </row>
    <row r="674">
      <c r="A674" s="5"/>
      <c r="B674" s="5"/>
      <c r="D674" s="5"/>
    </row>
    <row r="675">
      <c r="A675" s="5"/>
      <c r="B675" s="5"/>
      <c r="D675" s="5"/>
    </row>
    <row r="676">
      <c r="A676" s="5"/>
      <c r="B676" s="5"/>
      <c r="D676" s="5"/>
    </row>
    <row r="677">
      <c r="A677" s="5"/>
      <c r="B677" s="5"/>
      <c r="D677" s="5"/>
    </row>
    <row r="678">
      <c r="A678" s="5"/>
      <c r="B678" s="5"/>
      <c r="D678" s="5"/>
    </row>
    <row r="679">
      <c r="A679" s="5"/>
      <c r="B679" s="5"/>
      <c r="D679" s="5"/>
    </row>
    <row r="680">
      <c r="A680" s="5"/>
      <c r="B680" s="5"/>
      <c r="D680" s="5"/>
    </row>
    <row r="681">
      <c r="A681" s="5"/>
      <c r="B681" s="5"/>
      <c r="D681" s="5"/>
    </row>
    <row r="682">
      <c r="A682" s="5"/>
      <c r="B682" s="5"/>
      <c r="D682" s="5"/>
    </row>
    <row r="683">
      <c r="A683" s="5"/>
      <c r="B683" s="5"/>
      <c r="D683" s="5"/>
    </row>
    <row r="684">
      <c r="A684" s="5"/>
      <c r="B684" s="5"/>
      <c r="D684" s="5"/>
    </row>
    <row r="685">
      <c r="A685" s="5"/>
      <c r="B685" s="5"/>
      <c r="D685" s="5"/>
    </row>
    <row r="686">
      <c r="A686" s="5"/>
      <c r="B686" s="5"/>
      <c r="D686" s="5"/>
    </row>
    <row r="687">
      <c r="A687" s="5"/>
      <c r="B687" s="5"/>
      <c r="D687" s="5"/>
    </row>
    <row r="688">
      <c r="A688" s="5"/>
      <c r="B688" s="5"/>
      <c r="D688" s="5"/>
    </row>
    <row r="689">
      <c r="A689" s="5"/>
      <c r="B689" s="5"/>
      <c r="D689" s="5"/>
    </row>
    <row r="690">
      <c r="A690" s="5"/>
      <c r="B690" s="5"/>
      <c r="D690" s="5"/>
    </row>
    <row r="691">
      <c r="A691" s="5"/>
      <c r="B691" s="5"/>
      <c r="D691" s="5"/>
    </row>
    <row r="692">
      <c r="A692" s="5"/>
      <c r="B692" s="5"/>
      <c r="D692" s="5"/>
    </row>
    <row r="693">
      <c r="A693" s="5"/>
      <c r="B693" s="5"/>
      <c r="D693" s="5"/>
    </row>
    <row r="694">
      <c r="A694" s="5"/>
      <c r="B694" s="5"/>
      <c r="D694" s="5"/>
    </row>
    <row r="695">
      <c r="A695" s="5"/>
      <c r="B695" s="5"/>
      <c r="D695" s="5"/>
    </row>
    <row r="696">
      <c r="A696" s="5"/>
      <c r="B696" s="5"/>
      <c r="D696" s="5"/>
    </row>
    <row r="697">
      <c r="A697" s="5"/>
      <c r="B697" s="5"/>
      <c r="D697" s="5"/>
    </row>
    <row r="698">
      <c r="A698" s="5"/>
      <c r="B698" s="5"/>
      <c r="D698" s="5"/>
    </row>
    <row r="699">
      <c r="A699" s="5"/>
      <c r="B699" s="5"/>
      <c r="D699" s="5"/>
    </row>
    <row r="700">
      <c r="A700" s="5"/>
      <c r="B700" s="5"/>
      <c r="D700" s="5"/>
    </row>
    <row r="701">
      <c r="A701" s="5"/>
      <c r="B701" s="5"/>
      <c r="D701" s="5"/>
    </row>
    <row r="702">
      <c r="A702" s="5"/>
      <c r="B702" s="5"/>
      <c r="D702" s="5"/>
    </row>
    <row r="703">
      <c r="A703" s="5"/>
      <c r="B703" s="5"/>
      <c r="D703" s="5"/>
    </row>
    <row r="704">
      <c r="A704" s="5"/>
      <c r="B704" s="5"/>
      <c r="D704" s="5"/>
    </row>
    <row r="705">
      <c r="A705" s="5"/>
      <c r="B705" s="5"/>
      <c r="D705" s="5"/>
    </row>
    <row r="706">
      <c r="A706" s="5"/>
      <c r="B706" s="5"/>
      <c r="D706" s="5"/>
    </row>
    <row r="707">
      <c r="A707" s="5"/>
      <c r="B707" s="5"/>
      <c r="D707" s="5"/>
    </row>
    <row r="708">
      <c r="A708" s="5"/>
      <c r="B708" s="5"/>
      <c r="D708" s="5"/>
    </row>
    <row r="709">
      <c r="A709" s="5"/>
      <c r="B709" s="5"/>
      <c r="D709" s="5"/>
    </row>
    <row r="710">
      <c r="A710" s="5"/>
      <c r="B710" s="5"/>
      <c r="D710" s="5"/>
    </row>
    <row r="711">
      <c r="A711" s="5"/>
      <c r="B711" s="5"/>
      <c r="D711" s="5"/>
    </row>
    <row r="712">
      <c r="A712" s="5"/>
      <c r="B712" s="5"/>
      <c r="D712" s="5"/>
    </row>
    <row r="713">
      <c r="A713" s="5"/>
      <c r="B713" s="5"/>
      <c r="D713" s="5"/>
    </row>
    <row r="714">
      <c r="A714" s="5"/>
      <c r="B714" s="5"/>
      <c r="D714" s="5"/>
    </row>
    <row r="715">
      <c r="A715" s="5"/>
      <c r="B715" s="5"/>
      <c r="D715" s="5"/>
    </row>
    <row r="716">
      <c r="A716" s="5"/>
      <c r="B716" s="5"/>
      <c r="D716" s="5"/>
    </row>
    <row r="717">
      <c r="A717" s="5"/>
      <c r="B717" s="5"/>
      <c r="D717" s="5"/>
    </row>
    <row r="718">
      <c r="A718" s="5"/>
      <c r="B718" s="5"/>
      <c r="D718" s="5"/>
    </row>
    <row r="719">
      <c r="A719" s="5"/>
      <c r="B719" s="5"/>
      <c r="D719" s="5"/>
    </row>
    <row r="720">
      <c r="A720" s="5"/>
      <c r="B720" s="5"/>
      <c r="D720" s="5"/>
    </row>
    <row r="721">
      <c r="A721" s="5"/>
      <c r="B721" s="5"/>
      <c r="D721" s="5"/>
    </row>
    <row r="722">
      <c r="A722" s="5"/>
      <c r="B722" s="5"/>
      <c r="D722" s="5"/>
    </row>
    <row r="723">
      <c r="A723" s="5"/>
      <c r="B723" s="5"/>
      <c r="D723" s="5"/>
    </row>
    <row r="724">
      <c r="A724" s="5"/>
      <c r="B724" s="5"/>
      <c r="D724" s="5"/>
    </row>
    <row r="725">
      <c r="A725" s="5"/>
      <c r="B725" s="5"/>
      <c r="D725" s="5"/>
    </row>
    <row r="726">
      <c r="A726" s="5"/>
      <c r="B726" s="5"/>
      <c r="D726" s="5"/>
    </row>
    <row r="727">
      <c r="A727" s="5"/>
      <c r="B727" s="5"/>
      <c r="D727" s="5"/>
    </row>
    <row r="728">
      <c r="A728" s="5"/>
      <c r="B728" s="5"/>
      <c r="D728" s="5"/>
    </row>
    <row r="729">
      <c r="A729" s="5"/>
      <c r="B729" s="5"/>
      <c r="D729" s="5"/>
    </row>
    <row r="730">
      <c r="A730" s="5"/>
      <c r="B730" s="5"/>
      <c r="D730" s="5"/>
    </row>
    <row r="731">
      <c r="A731" s="5"/>
      <c r="B731" s="5"/>
      <c r="D731" s="5"/>
    </row>
    <row r="732">
      <c r="A732" s="5"/>
      <c r="B732" s="5"/>
      <c r="D732" s="5"/>
    </row>
    <row r="733">
      <c r="A733" s="5"/>
      <c r="B733" s="5"/>
      <c r="D733" s="5"/>
    </row>
    <row r="734">
      <c r="A734" s="5"/>
      <c r="B734" s="5"/>
      <c r="D734" s="5"/>
    </row>
    <row r="735">
      <c r="A735" s="5"/>
      <c r="B735" s="5"/>
      <c r="D735" s="5"/>
    </row>
    <row r="736">
      <c r="A736" s="5"/>
      <c r="B736" s="5"/>
      <c r="D736" s="5"/>
    </row>
    <row r="737">
      <c r="A737" s="5"/>
      <c r="B737" s="5"/>
      <c r="D737" s="5"/>
    </row>
    <row r="738">
      <c r="A738" s="5"/>
      <c r="B738" s="5"/>
      <c r="D738" s="5"/>
    </row>
    <row r="739">
      <c r="A739" s="5"/>
      <c r="B739" s="5"/>
      <c r="D739" s="5"/>
    </row>
    <row r="740">
      <c r="A740" s="5"/>
      <c r="B740" s="5"/>
      <c r="D740" s="5"/>
    </row>
    <row r="741">
      <c r="A741" s="5"/>
      <c r="B741" s="5"/>
      <c r="D741" s="5"/>
    </row>
    <row r="742">
      <c r="A742" s="5"/>
      <c r="B742" s="5"/>
      <c r="D742" s="5"/>
    </row>
    <row r="743">
      <c r="A743" s="5"/>
      <c r="B743" s="5"/>
      <c r="D743" s="5"/>
    </row>
    <row r="744">
      <c r="A744" s="5"/>
      <c r="B744" s="5"/>
      <c r="D744" s="5"/>
    </row>
    <row r="745">
      <c r="A745" s="5"/>
      <c r="B745" s="5"/>
      <c r="D745" s="5"/>
    </row>
    <row r="746">
      <c r="A746" s="5"/>
      <c r="B746" s="5"/>
      <c r="D746" s="5"/>
    </row>
    <row r="747">
      <c r="A747" s="5"/>
      <c r="B747" s="5"/>
      <c r="D747" s="5"/>
    </row>
    <row r="748">
      <c r="A748" s="5"/>
      <c r="B748" s="5"/>
      <c r="D748" s="5"/>
    </row>
    <row r="749">
      <c r="A749" s="5"/>
      <c r="B749" s="5"/>
      <c r="D749" s="5"/>
    </row>
    <row r="750">
      <c r="A750" s="5"/>
      <c r="B750" s="5"/>
      <c r="D750" s="5"/>
    </row>
    <row r="751">
      <c r="A751" s="5"/>
      <c r="B751" s="5"/>
      <c r="D751" s="5"/>
    </row>
    <row r="752">
      <c r="A752" s="5"/>
      <c r="B752" s="5"/>
      <c r="D752" s="5"/>
    </row>
    <row r="753">
      <c r="A753" s="5"/>
      <c r="B753" s="5"/>
      <c r="D753" s="5"/>
    </row>
    <row r="754">
      <c r="A754" s="5"/>
      <c r="B754" s="5"/>
      <c r="D754" s="5"/>
    </row>
    <row r="755">
      <c r="A755" s="5"/>
      <c r="B755" s="5"/>
      <c r="D755" s="5"/>
    </row>
    <row r="756">
      <c r="A756" s="5"/>
      <c r="B756" s="5"/>
      <c r="D756" s="5"/>
    </row>
    <row r="757">
      <c r="A757" s="5"/>
      <c r="B757" s="5"/>
      <c r="D757" s="5"/>
    </row>
    <row r="758">
      <c r="A758" s="5"/>
      <c r="B758" s="5"/>
      <c r="D758" s="5"/>
    </row>
    <row r="759">
      <c r="A759" s="5"/>
      <c r="B759" s="5"/>
      <c r="D759" s="5"/>
    </row>
    <row r="760">
      <c r="A760" s="5"/>
      <c r="B760" s="5"/>
      <c r="D760" s="5"/>
    </row>
    <row r="761">
      <c r="A761" s="5"/>
      <c r="B761" s="5"/>
      <c r="D761" s="5"/>
    </row>
    <row r="762">
      <c r="A762" s="5"/>
      <c r="B762" s="5"/>
      <c r="D762" s="5"/>
    </row>
    <row r="763">
      <c r="A763" s="5"/>
      <c r="B763" s="5"/>
      <c r="D763" s="5"/>
    </row>
    <row r="764">
      <c r="A764" s="5"/>
      <c r="B764" s="5"/>
      <c r="D764" s="5"/>
    </row>
    <row r="765">
      <c r="A765" s="5"/>
      <c r="B765" s="5"/>
      <c r="D765" s="5"/>
    </row>
    <row r="766">
      <c r="A766" s="5"/>
      <c r="B766" s="5"/>
      <c r="D766" s="5"/>
    </row>
    <row r="767">
      <c r="A767" s="5"/>
      <c r="B767" s="5"/>
      <c r="D767" s="5"/>
    </row>
    <row r="768">
      <c r="A768" s="5"/>
      <c r="B768" s="5"/>
      <c r="D768" s="5"/>
    </row>
    <row r="769">
      <c r="A769" s="5"/>
      <c r="B769" s="5"/>
      <c r="D769" s="5"/>
    </row>
    <row r="770">
      <c r="A770" s="5"/>
      <c r="B770" s="5"/>
      <c r="D770" s="5"/>
    </row>
    <row r="771">
      <c r="A771" s="5"/>
      <c r="B771" s="5"/>
      <c r="D771" s="5"/>
    </row>
    <row r="772">
      <c r="A772" s="5"/>
      <c r="B772" s="5"/>
      <c r="D772" s="5"/>
    </row>
    <row r="773">
      <c r="A773" s="5"/>
      <c r="B773" s="5"/>
      <c r="D773" s="5"/>
    </row>
    <row r="774">
      <c r="A774" s="5"/>
      <c r="B774" s="5"/>
      <c r="D774" s="5"/>
    </row>
    <row r="775">
      <c r="A775" s="5"/>
      <c r="B775" s="5"/>
      <c r="D775" s="5"/>
    </row>
    <row r="776">
      <c r="A776" s="5"/>
      <c r="B776" s="5"/>
      <c r="D776" s="5"/>
    </row>
    <row r="777">
      <c r="A777" s="5"/>
      <c r="B777" s="5"/>
      <c r="D777" s="5"/>
    </row>
    <row r="778">
      <c r="A778" s="5"/>
      <c r="B778" s="5"/>
      <c r="D778" s="5"/>
    </row>
    <row r="779">
      <c r="A779" s="5"/>
      <c r="B779" s="5"/>
      <c r="D779" s="5"/>
    </row>
    <row r="780">
      <c r="A780" s="5"/>
      <c r="B780" s="5"/>
      <c r="D780" s="5"/>
    </row>
    <row r="781">
      <c r="A781" s="5"/>
      <c r="B781" s="5"/>
      <c r="D781" s="5"/>
    </row>
    <row r="782">
      <c r="A782" s="5"/>
      <c r="B782" s="5"/>
      <c r="D782" s="5"/>
    </row>
    <row r="783">
      <c r="A783" s="5"/>
      <c r="B783" s="5"/>
      <c r="D783" s="5"/>
    </row>
    <row r="784">
      <c r="A784" s="5"/>
      <c r="B784" s="5"/>
      <c r="D784" s="5"/>
    </row>
    <row r="785">
      <c r="A785" s="5"/>
      <c r="B785" s="5"/>
      <c r="D785" s="5"/>
    </row>
    <row r="786">
      <c r="A786" s="5"/>
      <c r="B786" s="5"/>
      <c r="D786" s="5"/>
    </row>
    <row r="787">
      <c r="A787" s="5"/>
      <c r="B787" s="5"/>
      <c r="D787" s="5"/>
    </row>
    <row r="788">
      <c r="A788" s="5"/>
      <c r="B788" s="5"/>
      <c r="D788" s="5"/>
    </row>
    <row r="789">
      <c r="A789" s="5"/>
      <c r="B789" s="5"/>
      <c r="D789" s="5"/>
    </row>
    <row r="790">
      <c r="A790" s="5"/>
      <c r="B790" s="5"/>
      <c r="D790" s="5"/>
    </row>
    <row r="791">
      <c r="A791" s="5"/>
      <c r="B791" s="5"/>
      <c r="D791" s="5"/>
    </row>
    <row r="792">
      <c r="A792" s="5"/>
      <c r="B792" s="5"/>
      <c r="D792" s="5"/>
    </row>
    <row r="793">
      <c r="A793" s="5"/>
      <c r="B793" s="5"/>
      <c r="D793" s="5"/>
    </row>
    <row r="794">
      <c r="A794" s="5"/>
      <c r="B794" s="5"/>
      <c r="D794" s="5"/>
    </row>
    <row r="795">
      <c r="A795" s="5"/>
      <c r="B795" s="5"/>
      <c r="D795" s="5"/>
    </row>
    <row r="796">
      <c r="A796" s="5"/>
      <c r="B796" s="5"/>
      <c r="D796" s="5"/>
    </row>
    <row r="797">
      <c r="A797" s="5"/>
      <c r="B797" s="5"/>
      <c r="D797" s="5"/>
    </row>
    <row r="798">
      <c r="A798" s="5"/>
      <c r="B798" s="5"/>
      <c r="D798" s="5"/>
    </row>
    <row r="799">
      <c r="A799" s="5"/>
      <c r="B799" s="5"/>
      <c r="D799" s="5"/>
    </row>
    <row r="800">
      <c r="A800" s="5"/>
      <c r="B800" s="5"/>
      <c r="D800" s="5"/>
    </row>
    <row r="801">
      <c r="A801" s="5"/>
      <c r="B801" s="5"/>
      <c r="D801" s="5"/>
    </row>
    <row r="802">
      <c r="A802" s="5"/>
      <c r="B802" s="5"/>
      <c r="D802" s="5"/>
    </row>
    <row r="803">
      <c r="A803" s="5"/>
      <c r="B803" s="5"/>
      <c r="D803" s="5"/>
    </row>
    <row r="804">
      <c r="A804" s="5"/>
      <c r="B804" s="5"/>
      <c r="D804" s="5"/>
    </row>
    <row r="805">
      <c r="A805" s="5"/>
      <c r="B805" s="5"/>
      <c r="D805" s="5"/>
    </row>
    <row r="806">
      <c r="A806" s="5"/>
      <c r="B806" s="5"/>
      <c r="D806" s="5"/>
    </row>
    <row r="807">
      <c r="A807" s="5"/>
      <c r="B807" s="5"/>
      <c r="D807" s="5"/>
    </row>
    <row r="808">
      <c r="A808" s="5"/>
      <c r="B808" s="5"/>
      <c r="D808" s="5"/>
    </row>
    <row r="809">
      <c r="A809" s="5"/>
      <c r="B809" s="5"/>
      <c r="D809" s="5"/>
    </row>
    <row r="810">
      <c r="A810" s="5"/>
      <c r="B810" s="5"/>
      <c r="D810" s="5"/>
    </row>
    <row r="811">
      <c r="A811" s="5"/>
      <c r="B811" s="5"/>
      <c r="D811" s="5"/>
    </row>
    <row r="812">
      <c r="A812" s="5"/>
      <c r="B812" s="5"/>
      <c r="D812" s="5"/>
    </row>
    <row r="813">
      <c r="A813" s="5"/>
      <c r="B813" s="5"/>
      <c r="D813" s="5"/>
    </row>
    <row r="814">
      <c r="A814" s="5"/>
      <c r="B814" s="5"/>
      <c r="D814" s="5"/>
    </row>
    <row r="815">
      <c r="A815" s="5"/>
      <c r="B815" s="5"/>
      <c r="D815" s="5"/>
    </row>
    <row r="816">
      <c r="A816" s="5"/>
      <c r="B816" s="5"/>
      <c r="D816" s="5"/>
    </row>
    <row r="817">
      <c r="A817" s="5"/>
      <c r="B817" s="5"/>
      <c r="D817" s="5"/>
    </row>
    <row r="818">
      <c r="A818" s="5"/>
      <c r="B818" s="5"/>
      <c r="D818" s="5"/>
    </row>
    <row r="819">
      <c r="A819" s="5"/>
      <c r="B819" s="5"/>
      <c r="D819" s="5"/>
    </row>
    <row r="820">
      <c r="A820" s="5"/>
      <c r="B820" s="5"/>
      <c r="D820" s="5"/>
    </row>
    <row r="821">
      <c r="A821" s="5"/>
      <c r="B821" s="5"/>
      <c r="D821" s="5"/>
    </row>
    <row r="822">
      <c r="A822" s="5"/>
      <c r="B822" s="5"/>
      <c r="D822" s="5"/>
    </row>
    <row r="823">
      <c r="A823" s="5"/>
      <c r="B823" s="5"/>
      <c r="D823" s="5"/>
    </row>
    <row r="824">
      <c r="A824" s="5"/>
      <c r="B824" s="5"/>
      <c r="D824" s="5"/>
    </row>
    <row r="825">
      <c r="A825" s="5"/>
      <c r="B825" s="5"/>
      <c r="D825" s="5"/>
    </row>
    <row r="826">
      <c r="A826" s="5"/>
      <c r="B826" s="5"/>
      <c r="D826" s="5"/>
    </row>
    <row r="827">
      <c r="A827" s="5"/>
      <c r="B827" s="5"/>
      <c r="D827" s="5"/>
    </row>
    <row r="828">
      <c r="A828" s="5"/>
      <c r="B828" s="5"/>
      <c r="D828" s="5"/>
    </row>
    <row r="829">
      <c r="A829" s="5"/>
      <c r="B829" s="5"/>
      <c r="D829" s="5"/>
    </row>
    <row r="830">
      <c r="A830" s="5"/>
      <c r="B830" s="5"/>
      <c r="D830" s="5"/>
    </row>
    <row r="831">
      <c r="A831" s="5"/>
      <c r="B831" s="5"/>
      <c r="D831" s="5"/>
    </row>
    <row r="832">
      <c r="A832" s="5"/>
      <c r="B832" s="5"/>
      <c r="D832" s="5"/>
    </row>
    <row r="833">
      <c r="A833" s="5"/>
      <c r="B833" s="5"/>
      <c r="D833" s="5"/>
    </row>
    <row r="834">
      <c r="A834" s="5"/>
      <c r="B834" s="5"/>
      <c r="D834" s="5"/>
    </row>
    <row r="835">
      <c r="A835" s="5"/>
      <c r="B835" s="5"/>
      <c r="D835" s="5"/>
    </row>
    <row r="836">
      <c r="A836" s="5"/>
      <c r="B836" s="5"/>
      <c r="D836" s="5"/>
    </row>
    <row r="837">
      <c r="A837" s="5"/>
      <c r="B837" s="5"/>
      <c r="D837" s="5"/>
    </row>
    <row r="838">
      <c r="A838" s="5"/>
      <c r="B838" s="5"/>
      <c r="D838" s="5"/>
    </row>
    <row r="839">
      <c r="A839" s="5"/>
      <c r="B839" s="5"/>
      <c r="D839" s="5"/>
    </row>
    <row r="840">
      <c r="A840" s="5"/>
      <c r="B840" s="5"/>
      <c r="D840" s="5"/>
    </row>
    <row r="841">
      <c r="A841" s="5"/>
      <c r="B841" s="5"/>
      <c r="D841" s="5"/>
    </row>
    <row r="842">
      <c r="A842" s="5"/>
      <c r="B842" s="5"/>
      <c r="D842" s="5"/>
    </row>
    <row r="843">
      <c r="A843" s="5"/>
      <c r="B843" s="5"/>
      <c r="D843" s="5"/>
    </row>
    <row r="844">
      <c r="A844" s="5"/>
      <c r="B844" s="5"/>
      <c r="D844" s="5"/>
    </row>
    <row r="845">
      <c r="A845" s="5"/>
      <c r="B845" s="5"/>
      <c r="D845" s="5"/>
    </row>
    <row r="846">
      <c r="A846" s="5"/>
      <c r="B846" s="5"/>
      <c r="D846" s="5"/>
    </row>
    <row r="847">
      <c r="A847" s="5"/>
      <c r="B847" s="5"/>
      <c r="D847" s="5"/>
    </row>
    <row r="848">
      <c r="A848" s="5"/>
      <c r="B848" s="5"/>
      <c r="D848" s="5"/>
    </row>
    <row r="849">
      <c r="A849" s="5"/>
      <c r="B849" s="5"/>
      <c r="D849" s="5"/>
    </row>
    <row r="850">
      <c r="A850" s="5"/>
      <c r="B850" s="5"/>
      <c r="D850" s="5"/>
    </row>
    <row r="851">
      <c r="A851" s="5"/>
      <c r="B851" s="5"/>
      <c r="D851" s="5"/>
    </row>
    <row r="852">
      <c r="A852" s="5"/>
      <c r="B852" s="5"/>
      <c r="D852" s="5"/>
    </row>
    <row r="853">
      <c r="A853" s="5"/>
      <c r="B853" s="5"/>
      <c r="D853" s="5"/>
    </row>
    <row r="854">
      <c r="A854" s="5"/>
      <c r="B854" s="5"/>
      <c r="D854" s="5"/>
    </row>
    <row r="855">
      <c r="A855" s="5"/>
      <c r="B855" s="5"/>
      <c r="D855" s="5"/>
    </row>
    <row r="856">
      <c r="A856" s="5"/>
      <c r="B856" s="5"/>
      <c r="D856" s="5"/>
    </row>
    <row r="857">
      <c r="A857" s="5"/>
      <c r="B857" s="5"/>
      <c r="D857" s="5"/>
    </row>
    <row r="858">
      <c r="A858" s="5"/>
      <c r="B858" s="5"/>
      <c r="D858" s="5"/>
    </row>
    <row r="859">
      <c r="A859" s="5"/>
      <c r="B859" s="5"/>
      <c r="D859" s="5"/>
    </row>
    <row r="860">
      <c r="A860" s="5"/>
      <c r="B860" s="5"/>
      <c r="D860" s="5"/>
    </row>
    <row r="861">
      <c r="A861" s="5"/>
      <c r="B861" s="5"/>
      <c r="D861" s="5"/>
    </row>
    <row r="862">
      <c r="A862" s="5"/>
      <c r="B862" s="5"/>
      <c r="D862" s="5"/>
    </row>
    <row r="863">
      <c r="A863" s="5"/>
      <c r="B863" s="5"/>
      <c r="D863" s="5"/>
    </row>
    <row r="864">
      <c r="A864" s="5"/>
      <c r="B864" s="5"/>
      <c r="D864" s="5"/>
    </row>
    <row r="865">
      <c r="A865" s="5"/>
      <c r="B865" s="5"/>
      <c r="D865" s="5"/>
    </row>
    <row r="866">
      <c r="A866" s="5"/>
      <c r="B866" s="5"/>
      <c r="D866" s="5"/>
    </row>
    <row r="867">
      <c r="A867" s="5"/>
      <c r="B867" s="5"/>
      <c r="D867" s="5"/>
    </row>
    <row r="868">
      <c r="A868" s="5"/>
      <c r="B868" s="5"/>
      <c r="D868" s="5"/>
    </row>
    <row r="869">
      <c r="A869" s="5"/>
      <c r="B869" s="5"/>
      <c r="D869" s="5"/>
    </row>
    <row r="870">
      <c r="A870" s="5"/>
      <c r="B870" s="5"/>
      <c r="D870" s="5"/>
    </row>
    <row r="871">
      <c r="A871" s="5"/>
      <c r="B871" s="5"/>
      <c r="D871" s="5"/>
    </row>
    <row r="872">
      <c r="A872" s="5"/>
      <c r="B872" s="5"/>
      <c r="D872" s="5"/>
    </row>
    <row r="873">
      <c r="A873" s="5"/>
      <c r="B873" s="5"/>
      <c r="D873" s="5"/>
    </row>
    <row r="874">
      <c r="A874" s="5"/>
      <c r="B874" s="5"/>
      <c r="D874" s="5"/>
    </row>
    <row r="875">
      <c r="A875" s="5"/>
      <c r="B875" s="5"/>
      <c r="D875" s="5"/>
    </row>
    <row r="876">
      <c r="A876" s="5"/>
      <c r="B876" s="5"/>
      <c r="D876" s="5"/>
    </row>
    <row r="877">
      <c r="A877" s="5"/>
      <c r="B877" s="5"/>
      <c r="D877" s="5"/>
    </row>
    <row r="878">
      <c r="A878" s="5"/>
      <c r="B878" s="5"/>
      <c r="D878" s="5"/>
    </row>
    <row r="879">
      <c r="A879" s="5"/>
      <c r="B879" s="5"/>
      <c r="D879" s="5"/>
    </row>
    <row r="880">
      <c r="A880" s="5"/>
      <c r="B880" s="5"/>
      <c r="D880" s="5"/>
    </row>
    <row r="881">
      <c r="A881" s="5"/>
      <c r="B881" s="5"/>
      <c r="D881" s="5"/>
    </row>
    <row r="882">
      <c r="A882" s="5"/>
      <c r="B882" s="5"/>
      <c r="D882" s="5"/>
    </row>
    <row r="883">
      <c r="A883" s="5"/>
      <c r="B883" s="5"/>
      <c r="D883" s="5"/>
    </row>
    <row r="884">
      <c r="A884" s="5"/>
      <c r="B884" s="5"/>
      <c r="D884" s="5"/>
    </row>
    <row r="885">
      <c r="A885" s="5"/>
      <c r="B885" s="5"/>
      <c r="D885" s="5"/>
    </row>
    <row r="886">
      <c r="A886" s="5"/>
      <c r="B886" s="5"/>
      <c r="D886" s="5"/>
    </row>
    <row r="887">
      <c r="A887" s="5"/>
      <c r="B887" s="5"/>
      <c r="D887" s="5"/>
    </row>
    <row r="888">
      <c r="A888" s="5"/>
      <c r="B888" s="5"/>
      <c r="D888" s="5"/>
    </row>
    <row r="889">
      <c r="A889" s="5"/>
      <c r="B889" s="5"/>
      <c r="D889" s="5"/>
    </row>
    <row r="890">
      <c r="A890" s="5"/>
      <c r="B890" s="5"/>
      <c r="D890" s="5"/>
    </row>
    <row r="891">
      <c r="A891" s="5"/>
      <c r="B891" s="5"/>
      <c r="D891" s="5"/>
    </row>
    <row r="892">
      <c r="A892" s="5"/>
      <c r="B892" s="5"/>
      <c r="D892" s="5"/>
    </row>
    <row r="893">
      <c r="A893" s="5"/>
      <c r="B893" s="5"/>
      <c r="D893" s="5"/>
    </row>
    <row r="894">
      <c r="A894" s="5"/>
      <c r="B894" s="5"/>
      <c r="D894" s="5"/>
    </row>
    <row r="895">
      <c r="A895" s="5"/>
      <c r="B895" s="5"/>
      <c r="D895" s="5"/>
    </row>
    <row r="896">
      <c r="A896" s="5"/>
      <c r="B896" s="5"/>
      <c r="D896" s="5"/>
    </row>
    <row r="897">
      <c r="A897" s="5"/>
      <c r="B897" s="5"/>
      <c r="D897" s="5"/>
    </row>
    <row r="898">
      <c r="A898" s="5"/>
      <c r="B898" s="5"/>
      <c r="D898" s="5"/>
    </row>
    <row r="899">
      <c r="A899" s="5"/>
      <c r="B899" s="5"/>
      <c r="D899" s="5"/>
    </row>
    <row r="900">
      <c r="A900" s="5"/>
      <c r="B900" s="5"/>
      <c r="D900" s="5"/>
    </row>
    <row r="901">
      <c r="A901" s="5"/>
      <c r="B901" s="5"/>
      <c r="D901" s="5"/>
    </row>
    <row r="902">
      <c r="A902" s="5"/>
      <c r="B902" s="5"/>
      <c r="D902" s="5"/>
    </row>
    <row r="903">
      <c r="A903" s="5"/>
      <c r="B903" s="5"/>
      <c r="D903" s="5"/>
    </row>
    <row r="904">
      <c r="A904" s="5"/>
      <c r="B904" s="5"/>
      <c r="D904" s="5"/>
    </row>
    <row r="905">
      <c r="A905" s="5"/>
      <c r="B905" s="5"/>
      <c r="D905" s="5"/>
    </row>
    <row r="906">
      <c r="A906" s="5"/>
      <c r="B906" s="5"/>
      <c r="D906" s="5"/>
    </row>
    <row r="907">
      <c r="A907" s="5"/>
      <c r="B907" s="5"/>
      <c r="D907" s="5"/>
    </row>
    <row r="908">
      <c r="A908" s="5"/>
      <c r="B908" s="5"/>
      <c r="D908" s="5"/>
    </row>
    <row r="909">
      <c r="A909" s="5"/>
      <c r="B909" s="5"/>
      <c r="D909" s="5"/>
    </row>
    <row r="910">
      <c r="A910" s="5"/>
      <c r="B910" s="5"/>
      <c r="D910" s="5"/>
    </row>
    <row r="911">
      <c r="A911" s="5"/>
      <c r="B911" s="5"/>
      <c r="D911" s="5"/>
    </row>
    <row r="912">
      <c r="A912" s="5"/>
      <c r="B912" s="5"/>
      <c r="D912" s="5"/>
    </row>
    <row r="913">
      <c r="A913" s="5"/>
      <c r="B913" s="5"/>
      <c r="D913" s="5"/>
    </row>
    <row r="914">
      <c r="A914" s="5"/>
      <c r="B914" s="5"/>
      <c r="D914" s="5"/>
    </row>
    <row r="915">
      <c r="A915" s="5"/>
      <c r="B915" s="5"/>
      <c r="D915" s="5"/>
    </row>
    <row r="916">
      <c r="A916" s="5"/>
      <c r="B916" s="5"/>
      <c r="D916" s="5"/>
    </row>
    <row r="917">
      <c r="A917" s="5"/>
      <c r="B917" s="5"/>
      <c r="D917" s="5"/>
    </row>
    <row r="918">
      <c r="A918" s="5"/>
      <c r="B918" s="5"/>
      <c r="D918" s="5"/>
    </row>
    <row r="919">
      <c r="A919" s="5"/>
      <c r="B919" s="5"/>
      <c r="D919" s="5"/>
    </row>
    <row r="920">
      <c r="A920" s="5"/>
      <c r="B920" s="5"/>
      <c r="D920" s="5"/>
    </row>
    <row r="921">
      <c r="A921" s="5"/>
      <c r="B921" s="5"/>
      <c r="D921" s="5"/>
    </row>
    <row r="922">
      <c r="A922" s="5"/>
      <c r="B922" s="5"/>
      <c r="D922" s="5"/>
    </row>
    <row r="923">
      <c r="A923" s="5"/>
      <c r="B923" s="5"/>
      <c r="D923" s="5"/>
    </row>
    <row r="924">
      <c r="A924" s="5"/>
      <c r="B924" s="5"/>
      <c r="D924" s="5"/>
    </row>
    <row r="925">
      <c r="A925" s="5"/>
      <c r="B925" s="5"/>
      <c r="D925" s="5"/>
    </row>
    <row r="926">
      <c r="A926" s="5"/>
      <c r="B926" s="5"/>
      <c r="D926" s="5"/>
    </row>
    <row r="927">
      <c r="A927" s="5"/>
      <c r="B927" s="5"/>
      <c r="D927" s="5"/>
    </row>
    <row r="928">
      <c r="A928" s="5"/>
      <c r="B928" s="5"/>
      <c r="D928" s="5"/>
    </row>
    <row r="929">
      <c r="A929" s="5"/>
      <c r="B929" s="5"/>
      <c r="D929" s="5"/>
    </row>
    <row r="930">
      <c r="A930" s="5"/>
      <c r="B930" s="5"/>
      <c r="D930" s="5"/>
    </row>
    <row r="931">
      <c r="A931" s="5"/>
      <c r="B931" s="5"/>
      <c r="D931" s="5"/>
    </row>
    <row r="932">
      <c r="A932" s="5"/>
      <c r="B932" s="5"/>
      <c r="D932" s="5"/>
    </row>
    <row r="933">
      <c r="A933" s="5"/>
      <c r="B933" s="5"/>
      <c r="D933" s="5"/>
    </row>
    <row r="934">
      <c r="A934" s="5"/>
      <c r="B934" s="5"/>
      <c r="D934" s="5"/>
    </row>
    <row r="935">
      <c r="A935" s="5"/>
      <c r="B935" s="5"/>
      <c r="D935" s="5"/>
    </row>
    <row r="936">
      <c r="A936" s="5"/>
      <c r="B936" s="5"/>
      <c r="D936" s="5"/>
    </row>
    <row r="937">
      <c r="A937" s="5"/>
      <c r="B937" s="5"/>
      <c r="D937" s="5"/>
    </row>
    <row r="938">
      <c r="A938" s="5"/>
      <c r="B938" s="5"/>
      <c r="D938" s="5"/>
    </row>
    <row r="939">
      <c r="A939" s="5"/>
      <c r="B939" s="5"/>
      <c r="D939" s="5"/>
    </row>
    <row r="940">
      <c r="A940" s="5"/>
      <c r="B940" s="5"/>
      <c r="D940" s="5"/>
    </row>
    <row r="941">
      <c r="A941" s="5"/>
      <c r="B941" s="5"/>
      <c r="D941" s="5"/>
    </row>
    <row r="942">
      <c r="A942" s="5"/>
      <c r="B942" s="5"/>
      <c r="D942" s="5"/>
    </row>
    <row r="943">
      <c r="A943" s="5"/>
      <c r="B943" s="5"/>
      <c r="D943" s="5"/>
    </row>
    <row r="944">
      <c r="A944" s="5"/>
      <c r="B944" s="5"/>
      <c r="D944" s="5"/>
    </row>
    <row r="945">
      <c r="A945" s="5"/>
      <c r="B945" s="5"/>
      <c r="D945" s="5"/>
    </row>
    <row r="946">
      <c r="A946" s="5"/>
      <c r="B946" s="5"/>
      <c r="D946" s="5"/>
    </row>
    <row r="947">
      <c r="A947" s="5"/>
      <c r="B947" s="5"/>
      <c r="D947" s="5"/>
    </row>
    <row r="948">
      <c r="A948" s="5"/>
      <c r="B948" s="5"/>
      <c r="D948" s="5"/>
    </row>
    <row r="949">
      <c r="A949" s="5"/>
      <c r="B949" s="5"/>
      <c r="D949" s="5"/>
    </row>
    <row r="950">
      <c r="A950" s="5"/>
      <c r="B950" s="5"/>
      <c r="D950" s="5"/>
    </row>
    <row r="951">
      <c r="A951" s="5"/>
      <c r="B951" s="5"/>
      <c r="D951" s="5"/>
    </row>
    <row r="952">
      <c r="A952" s="5"/>
      <c r="B952" s="5"/>
      <c r="D952" s="5"/>
    </row>
    <row r="953">
      <c r="A953" s="5"/>
      <c r="B953" s="5"/>
      <c r="D953" s="5"/>
    </row>
    <row r="954">
      <c r="A954" s="5"/>
      <c r="B954" s="5"/>
      <c r="D954" s="5"/>
    </row>
    <row r="955">
      <c r="A955" s="5"/>
      <c r="B955" s="5"/>
      <c r="D955" s="5"/>
    </row>
    <row r="956">
      <c r="A956" s="5"/>
      <c r="B956" s="5"/>
      <c r="D956" s="5"/>
    </row>
    <row r="957">
      <c r="A957" s="5"/>
      <c r="B957" s="5"/>
      <c r="D957" s="5"/>
    </row>
    <row r="958">
      <c r="A958" s="5"/>
      <c r="B958" s="5"/>
      <c r="D958" s="5"/>
    </row>
    <row r="959">
      <c r="A959" s="5"/>
      <c r="B959" s="5"/>
      <c r="D959" s="5"/>
    </row>
    <row r="960">
      <c r="A960" s="5"/>
      <c r="B960" s="5"/>
      <c r="D960" s="5"/>
    </row>
    <row r="961">
      <c r="A961" s="5"/>
      <c r="B961" s="5"/>
      <c r="D961" s="5"/>
    </row>
    <row r="962">
      <c r="A962" s="5"/>
      <c r="B962" s="5"/>
      <c r="D962" s="5"/>
    </row>
    <row r="963">
      <c r="A963" s="5"/>
      <c r="B963" s="5"/>
      <c r="D963" s="5"/>
    </row>
    <row r="964">
      <c r="A964" s="5"/>
      <c r="B964" s="5"/>
      <c r="D964" s="5"/>
    </row>
    <row r="965">
      <c r="A965" s="5"/>
      <c r="B965" s="5"/>
      <c r="D965" s="5"/>
    </row>
    <row r="966">
      <c r="A966" s="5"/>
      <c r="B966" s="5"/>
      <c r="D966" s="5"/>
    </row>
    <row r="967">
      <c r="A967" s="5"/>
      <c r="B967" s="5"/>
      <c r="D967" s="5"/>
    </row>
    <row r="968">
      <c r="A968" s="5"/>
      <c r="B968" s="5"/>
      <c r="D968" s="5"/>
    </row>
    <row r="969">
      <c r="A969" s="5"/>
      <c r="B969" s="5"/>
      <c r="D969" s="5"/>
    </row>
    <row r="970">
      <c r="A970" s="5"/>
      <c r="B970" s="5"/>
      <c r="D970" s="5"/>
    </row>
    <row r="971">
      <c r="A971" s="5"/>
      <c r="B971" s="5"/>
      <c r="D971" s="5"/>
    </row>
    <row r="972">
      <c r="A972" s="5"/>
      <c r="B972" s="5"/>
      <c r="D972" s="5"/>
    </row>
    <row r="973">
      <c r="A973" s="5"/>
      <c r="B973" s="5"/>
      <c r="D973" s="5"/>
    </row>
    <row r="974">
      <c r="A974" s="5"/>
      <c r="B974" s="5"/>
      <c r="D974" s="5"/>
    </row>
    <row r="975">
      <c r="A975" s="5"/>
      <c r="B975" s="5"/>
      <c r="D975" s="5"/>
    </row>
    <row r="976">
      <c r="A976" s="5"/>
      <c r="B976" s="5"/>
      <c r="D976" s="5"/>
    </row>
    <row r="977">
      <c r="A977" s="5"/>
      <c r="B977" s="5"/>
      <c r="D977" s="5"/>
    </row>
    <row r="978">
      <c r="A978" s="5"/>
      <c r="B978" s="5"/>
      <c r="D978" s="5"/>
    </row>
    <row r="979">
      <c r="A979" s="5"/>
      <c r="B979" s="5"/>
      <c r="D979" s="5"/>
    </row>
    <row r="980">
      <c r="A980" s="5"/>
      <c r="B980" s="5"/>
      <c r="D980" s="5"/>
    </row>
    <row r="981">
      <c r="A981" s="5"/>
      <c r="B981" s="5"/>
      <c r="D981" s="5"/>
    </row>
    <row r="982">
      <c r="A982" s="5"/>
      <c r="B982" s="5"/>
      <c r="D982" s="5"/>
    </row>
    <row r="983">
      <c r="A983" s="5"/>
      <c r="B983" s="5"/>
      <c r="D983" s="5"/>
    </row>
    <row r="984">
      <c r="A984" s="5"/>
      <c r="B984" s="5"/>
      <c r="D984" s="5"/>
    </row>
    <row r="985">
      <c r="A985" s="5"/>
      <c r="B985" s="5"/>
      <c r="D985" s="5"/>
    </row>
    <row r="986">
      <c r="A986" s="5"/>
      <c r="B986" s="5"/>
      <c r="D986" s="5"/>
    </row>
    <row r="987">
      <c r="A987" s="5"/>
      <c r="B987" s="5"/>
      <c r="D987" s="5"/>
    </row>
    <row r="988">
      <c r="A988" s="5"/>
      <c r="B988" s="5"/>
      <c r="D988" s="5"/>
    </row>
    <row r="989">
      <c r="A989" s="5"/>
      <c r="B989" s="5"/>
      <c r="D989" s="5"/>
    </row>
    <row r="990">
      <c r="A990" s="5"/>
      <c r="B990" s="5"/>
      <c r="D990" s="5"/>
    </row>
    <row r="991">
      <c r="A991" s="5"/>
      <c r="B991" s="5"/>
      <c r="D991" s="5"/>
    </row>
    <row r="992">
      <c r="A992" s="5"/>
      <c r="B992" s="5"/>
      <c r="D992" s="5"/>
    </row>
    <row r="993">
      <c r="A993" s="5"/>
      <c r="B993" s="5"/>
      <c r="D993" s="5"/>
    </row>
    <row r="994">
      <c r="A994" s="5"/>
      <c r="B994" s="5"/>
      <c r="D994" s="5"/>
    </row>
    <row r="995">
      <c r="A995" s="5"/>
      <c r="B995" s="5"/>
      <c r="D995" s="5"/>
    </row>
    <row r="996">
      <c r="A996" s="5"/>
      <c r="B996" s="5"/>
      <c r="D996" s="5"/>
    </row>
    <row r="997">
      <c r="A997" s="5"/>
      <c r="B997" s="5"/>
      <c r="D997" s="5"/>
    </row>
    <row r="998">
      <c r="A998" s="5"/>
      <c r="B998" s="5"/>
      <c r="D998" s="5"/>
    </row>
    <row r="999">
      <c r="A999" s="5"/>
      <c r="B999" s="5"/>
      <c r="D999" s="5"/>
    </row>
    <row r="1000">
      <c r="A1000" s="5"/>
      <c r="B1000" s="5"/>
      <c r="D1000" s="5"/>
    </row>
    <row r="1001">
      <c r="A1001" s="5"/>
      <c r="B1001" s="5"/>
      <c r="D1001" s="5"/>
    </row>
    <row r="1002">
      <c r="A1002" s="5"/>
      <c r="B1002" s="5"/>
      <c r="D1002" s="5"/>
    </row>
    <row r="1003">
      <c r="A1003" s="5"/>
      <c r="B1003" s="5"/>
      <c r="D1003" s="5"/>
    </row>
    <row r="1004">
      <c r="A1004" s="5"/>
      <c r="B1004" s="5"/>
      <c r="D1004" s="5"/>
    </row>
    <row r="1005">
      <c r="A1005" s="5"/>
      <c r="B1005" s="5"/>
      <c r="D1005" s="5"/>
    </row>
  </sheetData>
  <dataValidations>
    <dataValidation type="list" allowBlank="1" showErrorMessage="1" sqref="D2:D1005">
      <formula1>"NA,Alamin,SpiralCon,umarjamal,furiouslytech,jerryjhlee,krishnagangwal,itsztales,sujartech,johncorbett,matebreton,jakemok.io,David Chen,jackk_flick,ai.veerse,jonesyslifestyle,pirknn,ssssafin,vizzystudies,the agi guide,basunverse,cindiezhu,chase_enloe"</formula1>
    </dataValidation>
    <dataValidation type="list" allowBlank="1" showErrorMessage="1" sqref="A2:A1005">
      <formula1>"Yes,Tool,Others,Learning"</formula1>
    </dataValidation>
    <dataValidation type="list" allowBlank="1" showErrorMessage="1" sqref="B158:B1005">
      <formula1>"Data Analysis,Development,Business,Machine Learning,AI,SQL,Consulting"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D84"/>
    <hyperlink r:id="rId84" ref="E84"/>
    <hyperlink r:id="rId85" ref="D85"/>
    <hyperlink r:id="rId86" ref="E85"/>
    <hyperlink r:id="rId87" ref="D86"/>
    <hyperlink r:id="rId88" ref="E86"/>
    <hyperlink r:id="rId89" ref="D87"/>
    <hyperlink r:id="rId90" ref="E87"/>
    <hyperlink r:id="rId91" ref="D88"/>
    <hyperlink r:id="rId92" ref="E88"/>
    <hyperlink r:id="rId93" ref="D89"/>
    <hyperlink r:id="rId94" ref="E89"/>
    <hyperlink r:id="rId95" ref="D90"/>
    <hyperlink r:id="rId96" ref="E90"/>
    <hyperlink r:id="rId97" ref="D91"/>
    <hyperlink r:id="rId98" ref="E91"/>
    <hyperlink r:id="rId99" ref="D92"/>
    <hyperlink r:id="rId100" ref="E92"/>
    <hyperlink r:id="rId101" ref="D93"/>
    <hyperlink r:id="rId102" ref="E93"/>
    <hyperlink r:id="rId103" ref="D94"/>
    <hyperlink r:id="rId104" ref="E94"/>
    <hyperlink r:id="rId105" ref="D95"/>
    <hyperlink r:id="rId106" ref="E95"/>
    <hyperlink r:id="rId107" ref="D96"/>
    <hyperlink r:id="rId108" ref="E96"/>
    <hyperlink r:id="rId109" ref="D97"/>
    <hyperlink r:id="rId110" ref="E97"/>
    <hyperlink r:id="rId111" ref="D98"/>
    <hyperlink r:id="rId112" ref="E98"/>
    <hyperlink r:id="rId113" ref="D99"/>
    <hyperlink r:id="rId114" ref="E99"/>
    <hyperlink r:id="rId115" ref="D100"/>
    <hyperlink r:id="rId116" ref="E100"/>
    <hyperlink r:id="rId117" ref="D101"/>
    <hyperlink r:id="rId118" ref="E101"/>
    <hyperlink r:id="rId119" ref="D102"/>
    <hyperlink r:id="rId120" ref="E102"/>
    <hyperlink r:id="rId121" ref="D103"/>
    <hyperlink r:id="rId122" ref="E103"/>
    <hyperlink r:id="rId123" ref="D104"/>
    <hyperlink r:id="rId124" ref="E104"/>
    <hyperlink r:id="rId125" ref="D105"/>
    <hyperlink r:id="rId126" ref="E105"/>
    <hyperlink r:id="rId127" ref="D106"/>
    <hyperlink r:id="rId128" ref="E106"/>
    <hyperlink r:id="rId129" ref="D107"/>
    <hyperlink r:id="rId130" ref="E107"/>
    <hyperlink r:id="rId131" ref="D108"/>
    <hyperlink r:id="rId132" ref="E108"/>
    <hyperlink r:id="rId133" ref="D109"/>
    <hyperlink r:id="rId134" ref="E109"/>
    <hyperlink r:id="rId135" ref="D110"/>
    <hyperlink r:id="rId136" ref="E110"/>
    <hyperlink r:id="rId137" ref="D111"/>
    <hyperlink r:id="rId138" ref="E111"/>
    <hyperlink r:id="rId139" ref="E112"/>
    <hyperlink r:id="rId140" ref="E113"/>
    <hyperlink r:id="rId141" ref="E114"/>
    <hyperlink r:id="rId142" ref="E115"/>
    <hyperlink r:id="rId143" ref="E116"/>
    <hyperlink r:id="rId144" ref="E117"/>
    <hyperlink r:id="rId145" ref="E118"/>
    <hyperlink r:id="rId146" ref="E119"/>
    <hyperlink r:id="rId147" ref="E120"/>
    <hyperlink r:id="rId148" ref="E121"/>
    <hyperlink r:id="rId149" ref="E122"/>
    <hyperlink r:id="rId150" ref="E123"/>
    <hyperlink r:id="rId151" ref="E124"/>
    <hyperlink r:id="rId152" ref="E125"/>
    <hyperlink r:id="rId153" ref="E126"/>
    <hyperlink r:id="rId154" ref="E127"/>
    <hyperlink r:id="rId155" ref="E128"/>
    <hyperlink r:id="rId156" ref="E129"/>
    <hyperlink r:id="rId157" ref="E130"/>
    <hyperlink r:id="rId158" ref="E131"/>
    <hyperlink r:id="rId159" ref="E132"/>
    <hyperlink r:id="rId160" ref="E133"/>
    <hyperlink r:id="rId161" ref="E134"/>
    <hyperlink r:id="rId162" ref="E135"/>
    <hyperlink r:id="rId163" ref="E136"/>
    <hyperlink r:id="rId164" ref="E137"/>
    <hyperlink r:id="rId165" ref="E138"/>
    <hyperlink r:id="rId166" ref="E139"/>
    <hyperlink r:id="rId167" ref="E140"/>
    <hyperlink r:id="rId168" ref="E141"/>
    <hyperlink r:id="rId169" ref="E142"/>
    <hyperlink r:id="rId170" ref="E143"/>
    <hyperlink r:id="rId171" ref="E144"/>
    <hyperlink r:id="rId172" ref="E145"/>
    <hyperlink r:id="rId173" ref="E146"/>
    <hyperlink r:id="rId174" ref="E147"/>
    <hyperlink r:id="rId175" ref="E148"/>
    <hyperlink r:id="rId176" ref="E149"/>
    <hyperlink r:id="rId177" ref="E150"/>
    <hyperlink r:id="rId178" ref="E151"/>
    <hyperlink r:id="rId179" ref="E152"/>
    <hyperlink r:id="rId180" ref="E153"/>
    <hyperlink r:id="rId181" ref="E154"/>
    <hyperlink r:id="rId182" ref="E155"/>
    <hyperlink r:id="rId183" ref="E156"/>
    <hyperlink r:id="rId184" ref="E157"/>
  </hyperlinks>
  <drawing r:id="rId185"/>
</worksheet>
</file>